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1ECECDF-1302-4B75-88AD-85AAE39B6A4E}" xr6:coauthVersionLast="38" xr6:coauthVersionMax="38" xr10:uidLastSave="{00000000-0000-0000-0000-000000000000}"/>
  <bookViews>
    <workbookView xWindow="0" yWindow="0" windowWidth="28800" windowHeight="11325" activeTab="1" xr2:uid="{00000000-000D-0000-FFFF-FFFF00000000}"/>
  </bookViews>
  <sheets>
    <sheet name="Raw_Data" sheetId="1" r:id="rId1"/>
    <sheet name="Clean_Data" sheetId="2" r:id="rId2"/>
    <sheet name="Data_Quality_Check" sheetId="3" r:id="rId3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3" l="1"/>
  <c r="L166" i="2"/>
  <c r="K166" i="2"/>
  <c r="J166" i="2"/>
  <c r="P166" i="2" s="1"/>
  <c r="I166" i="2"/>
  <c r="H166" i="2"/>
  <c r="G166" i="2"/>
  <c r="F166" i="2"/>
  <c r="O166" i="2" s="1"/>
  <c r="E166" i="2"/>
  <c r="D166" i="2"/>
  <c r="C166" i="2"/>
  <c r="B166" i="2"/>
  <c r="N166" i="2" s="1"/>
  <c r="A166" i="2"/>
  <c r="O165" i="2"/>
  <c r="K165" i="2"/>
  <c r="J165" i="2"/>
  <c r="I165" i="2"/>
  <c r="H165" i="2"/>
  <c r="G165" i="2"/>
  <c r="L165" i="2" s="1"/>
  <c r="F165" i="2"/>
  <c r="E165" i="2"/>
  <c r="D165" i="2"/>
  <c r="C165" i="2"/>
  <c r="P165" i="2" s="1"/>
  <c r="B165" i="2"/>
  <c r="Q165" i="2" s="1"/>
  <c r="R165" i="2" s="1"/>
  <c r="A165" i="2"/>
  <c r="M164" i="2"/>
  <c r="L164" i="2"/>
  <c r="K164" i="2"/>
  <c r="J164" i="2"/>
  <c r="P164" i="2" s="1"/>
  <c r="I164" i="2"/>
  <c r="H164" i="2"/>
  <c r="G164" i="2"/>
  <c r="F164" i="2"/>
  <c r="O164" i="2" s="1"/>
  <c r="E164" i="2"/>
  <c r="D164" i="2"/>
  <c r="C164" i="2"/>
  <c r="B164" i="2"/>
  <c r="N164" i="2" s="1"/>
  <c r="A164" i="2"/>
  <c r="O163" i="2"/>
  <c r="K163" i="2"/>
  <c r="J163" i="2"/>
  <c r="I163" i="2"/>
  <c r="H163" i="2"/>
  <c r="G163" i="2"/>
  <c r="L163" i="2" s="1"/>
  <c r="F163" i="2"/>
  <c r="E163" i="2"/>
  <c r="D163" i="2"/>
  <c r="C163" i="2"/>
  <c r="P163" i="2" s="1"/>
  <c r="B163" i="2"/>
  <c r="A163" i="2"/>
  <c r="M162" i="2"/>
  <c r="L162" i="2"/>
  <c r="K162" i="2"/>
  <c r="J162" i="2"/>
  <c r="P162" i="2" s="1"/>
  <c r="I162" i="2"/>
  <c r="H162" i="2"/>
  <c r="G162" i="2"/>
  <c r="F162" i="2"/>
  <c r="O162" i="2" s="1"/>
  <c r="E162" i="2"/>
  <c r="D162" i="2"/>
  <c r="C162" i="2"/>
  <c r="B162" i="2"/>
  <c r="N162" i="2" s="1"/>
  <c r="A162" i="2"/>
  <c r="O161" i="2"/>
  <c r="K161" i="2"/>
  <c r="J161" i="2"/>
  <c r="I161" i="2"/>
  <c r="H161" i="2"/>
  <c r="G161" i="2"/>
  <c r="L161" i="2" s="1"/>
  <c r="F161" i="2"/>
  <c r="E161" i="2"/>
  <c r="D161" i="2"/>
  <c r="C161" i="2"/>
  <c r="P161" i="2" s="1"/>
  <c r="B161" i="2"/>
  <c r="A161" i="2"/>
  <c r="P160" i="2"/>
  <c r="M160" i="2"/>
  <c r="L160" i="2"/>
  <c r="K160" i="2"/>
  <c r="J160" i="2"/>
  <c r="I160" i="2"/>
  <c r="H160" i="2"/>
  <c r="G160" i="2"/>
  <c r="F160" i="2"/>
  <c r="O160" i="2" s="1"/>
  <c r="E160" i="2"/>
  <c r="D160" i="2"/>
  <c r="C160" i="2"/>
  <c r="B160" i="2"/>
  <c r="N160" i="2" s="1"/>
  <c r="A160" i="2"/>
  <c r="O159" i="2"/>
  <c r="K159" i="2"/>
  <c r="J159" i="2"/>
  <c r="I159" i="2"/>
  <c r="H159" i="2"/>
  <c r="G159" i="2"/>
  <c r="L159" i="2" s="1"/>
  <c r="F159" i="2"/>
  <c r="E159" i="2"/>
  <c r="D159" i="2"/>
  <c r="C159" i="2"/>
  <c r="P159" i="2" s="1"/>
  <c r="B159" i="2"/>
  <c r="A159" i="2"/>
  <c r="P158" i="2"/>
  <c r="M158" i="2"/>
  <c r="L158" i="2"/>
  <c r="K158" i="2"/>
  <c r="J158" i="2"/>
  <c r="I158" i="2"/>
  <c r="H158" i="2"/>
  <c r="G158" i="2"/>
  <c r="F158" i="2"/>
  <c r="O158" i="2" s="1"/>
  <c r="E158" i="2"/>
  <c r="D158" i="2"/>
  <c r="C158" i="2"/>
  <c r="B158" i="2"/>
  <c r="N158" i="2" s="1"/>
  <c r="A158" i="2"/>
  <c r="O157" i="2"/>
  <c r="K157" i="2"/>
  <c r="J157" i="2"/>
  <c r="I157" i="2"/>
  <c r="H157" i="2"/>
  <c r="G157" i="2"/>
  <c r="L157" i="2" s="1"/>
  <c r="F157" i="2"/>
  <c r="E157" i="2"/>
  <c r="D157" i="2"/>
  <c r="C157" i="2"/>
  <c r="P157" i="2" s="1"/>
  <c r="B157" i="2"/>
  <c r="A157" i="2"/>
  <c r="P156" i="2"/>
  <c r="M156" i="2"/>
  <c r="L156" i="2"/>
  <c r="K156" i="2"/>
  <c r="J156" i="2"/>
  <c r="I156" i="2"/>
  <c r="H156" i="2"/>
  <c r="G156" i="2"/>
  <c r="F156" i="2"/>
  <c r="O156" i="2" s="1"/>
  <c r="E156" i="2"/>
  <c r="D156" i="2"/>
  <c r="C156" i="2"/>
  <c r="B156" i="2"/>
  <c r="N156" i="2" s="1"/>
  <c r="A156" i="2"/>
  <c r="O155" i="2"/>
  <c r="K155" i="2"/>
  <c r="J155" i="2"/>
  <c r="I155" i="2"/>
  <c r="H155" i="2"/>
  <c r="G155" i="2"/>
  <c r="L155" i="2" s="1"/>
  <c r="F155" i="2"/>
  <c r="E155" i="2"/>
  <c r="D155" i="2"/>
  <c r="C155" i="2"/>
  <c r="P155" i="2" s="1"/>
  <c r="B155" i="2"/>
  <c r="A155" i="2"/>
  <c r="P154" i="2"/>
  <c r="M154" i="2"/>
  <c r="L154" i="2"/>
  <c r="K154" i="2"/>
  <c r="J154" i="2"/>
  <c r="I154" i="2"/>
  <c r="H154" i="2"/>
  <c r="G154" i="2"/>
  <c r="F154" i="2"/>
  <c r="O154" i="2" s="1"/>
  <c r="E154" i="2"/>
  <c r="D154" i="2"/>
  <c r="C154" i="2"/>
  <c r="B154" i="2"/>
  <c r="N154" i="2" s="1"/>
  <c r="A154" i="2"/>
  <c r="O153" i="2"/>
  <c r="K153" i="2"/>
  <c r="J153" i="2"/>
  <c r="I153" i="2"/>
  <c r="H153" i="2"/>
  <c r="G153" i="2"/>
  <c r="L153" i="2" s="1"/>
  <c r="F153" i="2"/>
  <c r="E153" i="2"/>
  <c r="D153" i="2"/>
  <c r="C153" i="2"/>
  <c r="P153" i="2" s="1"/>
  <c r="B153" i="2"/>
  <c r="A153" i="2"/>
  <c r="P152" i="2"/>
  <c r="M152" i="2"/>
  <c r="L152" i="2"/>
  <c r="K152" i="2"/>
  <c r="J152" i="2"/>
  <c r="I152" i="2"/>
  <c r="H152" i="2"/>
  <c r="G152" i="2"/>
  <c r="F152" i="2"/>
  <c r="O152" i="2" s="1"/>
  <c r="E152" i="2"/>
  <c r="D152" i="2"/>
  <c r="C152" i="2"/>
  <c r="B152" i="2"/>
  <c r="N152" i="2" s="1"/>
  <c r="A152" i="2"/>
  <c r="O151" i="2"/>
  <c r="K151" i="2"/>
  <c r="J151" i="2"/>
  <c r="I151" i="2"/>
  <c r="H151" i="2"/>
  <c r="G151" i="2"/>
  <c r="L151" i="2" s="1"/>
  <c r="F151" i="2"/>
  <c r="E151" i="2"/>
  <c r="D151" i="2"/>
  <c r="C151" i="2"/>
  <c r="P151" i="2" s="1"/>
  <c r="B151" i="2"/>
  <c r="A151" i="2"/>
  <c r="P150" i="2"/>
  <c r="M150" i="2"/>
  <c r="L150" i="2"/>
  <c r="K150" i="2"/>
  <c r="J150" i="2"/>
  <c r="I150" i="2"/>
  <c r="H150" i="2"/>
  <c r="G150" i="2"/>
  <c r="F150" i="2"/>
  <c r="O150" i="2" s="1"/>
  <c r="E150" i="2"/>
  <c r="D150" i="2"/>
  <c r="C150" i="2"/>
  <c r="B150" i="2"/>
  <c r="N150" i="2" s="1"/>
  <c r="A150" i="2"/>
  <c r="O149" i="2"/>
  <c r="K149" i="2"/>
  <c r="J149" i="2"/>
  <c r="I149" i="2"/>
  <c r="H149" i="2"/>
  <c r="G149" i="2"/>
  <c r="L149" i="2" s="1"/>
  <c r="F149" i="2"/>
  <c r="E149" i="2"/>
  <c r="D149" i="2"/>
  <c r="C149" i="2"/>
  <c r="P149" i="2" s="1"/>
  <c r="B149" i="2"/>
  <c r="A149" i="2"/>
  <c r="P148" i="2"/>
  <c r="M148" i="2"/>
  <c r="L148" i="2"/>
  <c r="K148" i="2"/>
  <c r="J148" i="2"/>
  <c r="I148" i="2"/>
  <c r="H148" i="2"/>
  <c r="G148" i="2"/>
  <c r="F148" i="2"/>
  <c r="O148" i="2" s="1"/>
  <c r="E148" i="2"/>
  <c r="D148" i="2"/>
  <c r="C148" i="2"/>
  <c r="B148" i="2"/>
  <c r="N148" i="2" s="1"/>
  <c r="A148" i="2"/>
  <c r="O147" i="2"/>
  <c r="K147" i="2"/>
  <c r="J147" i="2"/>
  <c r="I147" i="2"/>
  <c r="H147" i="2"/>
  <c r="G147" i="2"/>
  <c r="L147" i="2" s="1"/>
  <c r="F147" i="2"/>
  <c r="E147" i="2"/>
  <c r="D147" i="2"/>
  <c r="C147" i="2"/>
  <c r="P147" i="2" s="1"/>
  <c r="B147" i="2"/>
  <c r="A147" i="2"/>
  <c r="P146" i="2"/>
  <c r="M146" i="2"/>
  <c r="L146" i="2"/>
  <c r="K146" i="2"/>
  <c r="J146" i="2"/>
  <c r="I146" i="2"/>
  <c r="H146" i="2"/>
  <c r="G146" i="2"/>
  <c r="F146" i="2"/>
  <c r="O146" i="2" s="1"/>
  <c r="E146" i="2"/>
  <c r="D146" i="2"/>
  <c r="C146" i="2"/>
  <c r="B146" i="2"/>
  <c r="N146" i="2" s="1"/>
  <c r="A146" i="2"/>
  <c r="O145" i="2"/>
  <c r="K145" i="2"/>
  <c r="J145" i="2"/>
  <c r="I145" i="2"/>
  <c r="H145" i="2"/>
  <c r="G145" i="2"/>
  <c r="L145" i="2" s="1"/>
  <c r="F145" i="2"/>
  <c r="E145" i="2"/>
  <c r="D145" i="2"/>
  <c r="C145" i="2"/>
  <c r="P145" i="2" s="1"/>
  <c r="B145" i="2"/>
  <c r="A145" i="2"/>
  <c r="P144" i="2"/>
  <c r="M144" i="2"/>
  <c r="L144" i="2"/>
  <c r="K144" i="2"/>
  <c r="J144" i="2"/>
  <c r="I144" i="2"/>
  <c r="H144" i="2"/>
  <c r="G144" i="2"/>
  <c r="F144" i="2"/>
  <c r="O144" i="2" s="1"/>
  <c r="E144" i="2"/>
  <c r="D144" i="2"/>
  <c r="C144" i="2"/>
  <c r="B144" i="2"/>
  <c r="N144" i="2" s="1"/>
  <c r="A144" i="2"/>
  <c r="O143" i="2"/>
  <c r="K143" i="2"/>
  <c r="J143" i="2"/>
  <c r="I143" i="2"/>
  <c r="H143" i="2"/>
  <c r="G143" i="2"/>
  <c r="L143" i="2" s="1"/>
  <c r="F143" i="2"/>
  <c r="E143" i="2"/>
  <c r="D143" i="2"/>
  <c r="C143" i="2"/>
  <c r="P143" i="2" s="1"/>
  <c r="B143" i="2"/>
  <c r="A143" i="2"/>
  <c r="P142" i="2"/>
  <c r="M142" i="2"/>
  <c r="L142" i="2"/>
  <c r="K142" i="2"/>
  <c r="J142" i="2"/>
  <c r="I142" i="2"/>
  <c r="H142" i="2"/>
  <c r="G142" i="2"/>
  <c r="F142" i="2"/>
  <c r="O142" i="2" s="1"/>
  <c r="E142" i="2"/>
  <c r="D142" i="2"/>
  <c r="C142" i="2"/>
  <c r="B142" i="2"/>
  <c r="N142" i="2" s="1"/>
  <c r="A142" i="2"/>
  <c r="O141" i="2"/>
  <c r="K141" i="2"/>
  <c r="J141" i="2"/>
  <c r="I141" i="2"/>
  <c r="H141" i="2"/>
  <c r="G141" i="2"/>
  <c r="L141" i="2" s="1"/>
  <c r="F141" i="2"/>
  <c r="E141" i="2"/>
  <c r="D141" i="2"/>
  <c r="C141" i="2"/>
  <c r="P141" i="2" s="1"/>
  <c r="B141" i="2"/>
  <c r="A141" i="2"/>
  <c r="P140" i="2"/>
  <c r="M140" i="2"/>
  <c r="L140" i="2"/>
  <c r="K140" i="2"/>
  <c r="J140" i="2"/>
  <c r="I140" i="2"/>
  <c r="H140" i="2"/>
  <c r="G140" i="2"/>
  <c r="F140" i="2"/>
  <c r="O140" i="2" s="1"/>
  <c r="E140" i="2"/>
  <c r="D140" i="2"/>
  <c r="C140" i="2"/>
  <c r="B140" i="2"/>
  <c r="N140" i="2" s="1"/>
  <c r="A140" i="2"/>
  <c r="O139" i="2"/>
  <c r="K139" i="2"/>
  <c r="J139" i="2"/>
  <c r="I139" i="2"/>
  <c r="H139" i="2"/>
  <c r="G139" i="2"/>
  <c r="L139" i="2" s="1"/>
  <c r="F139" i="2"/>
  <c r="E139" i="2"/>
  <c r="D139" i="2"/>
  <c r="C139" i="2"/>
  <c r="P139" i="2" s="1"/>
  <c r="B139" i="2"/>
  <c r="A139" i="2"/>
  <c r="P138" i="2"/>
  <c r="M138" i="2"/>
  <c r="L138" i="2"/>
  <c r="K138" i="2"/>
  <c r="J138" i="2"/>
  <c r="I138" i="2"/>
  <c r="H138" i="2"/>
  <c r="G138" i="2"/>
  <c r="F138" i="2"/>
  <c r="O138" i="2" s="1"/>
  <c r="E138" i="2"/>
  <c r="D138" i="2"/>
  <c r="C138" i="2"/>
  <c r="B138" i="2"/>
  <c r="N138" i="2" s="1"/>
  <c r="A138" i="2"/>
  <c r="O137" i="2"/>
  <c r="K137" i="2"/>
  <c r="J137" i="2"/>
  <c r="I137" i="2"/>
  <c r="H137" i="2"/>
  <c r="G137" i="2"/>
  <c r="L137" i="2" s="1"/>
  <c r="F137" i="2"/>
  <c r="E137" i="2"/>
  <c r="D137" i="2"/>
  <c r="C137" i="2"/>
  <c r="P137" i="2" s="1"/>
  <c r="B137" i="2"/>
  <c r="A137" i="2"/>
  <c r="P136" i="2"/>
  <c r="M136" i="2"/>
  <c r="L136" i="2"/>
  <c r="K136" i="2"/>
  <c r="J136" i="2"/>
  <c r="I136" i="2"/>
  <c r="H136" i="2"/>
  <c r="G136" i="2"/>
  <c r="F136" i="2"/>
  <c r="O136" i="2" s="1"/>
  <c r="E136" i="2"/>
  <c r="D136" i="2"/>
  <c r="C136" i="2"/>
  <c r="B136" i="2"/>
  <c r="N136" i="2" s="1"/>
  <c r="A136" i="2"/>
  <c r="O135" i="2"/>
  <c r="K135" i="2"/>
  <c r="J135" i="2"/>
  <c r="I135" i="2"/>
  <c r="H135" i="2"/>
  <c r="G135" i="2"/>
  <c r="L135" i="2" s="1"/>
  <c r="F135" i="2"/>
  <c r="E135" i="2"/>
  <c r="D135" i="2"/>
  <c r="C135" i="2"/>
  <c r="P135" i="2" s="1"/>
  <c r="B135" i="2"/>
  <c r="A135" i="2"/>
  <c r="P134" i="2"/>
  <c r="M134" i="2"/>
  <c r="L134" i="2"/>
  <c r="K134" i="2"/>
  <c r="J134" i="2"/>
  <c r="I134" i="2"/>
  <c r="H134" i="2"/>
  <c r="G134" i="2"/>
  <c r="F134" i="2"/>
  <c r="O134" i="2" s="1"/>
  <c r="E134" i="2"/>
  <c r="D134" i="2"/>
  <c r="C134" i="2"/>
  <c r="B134" i="2"/>
  <c r="N134" i="2" s="1"/>
  <c r="A134" i="2"/>
  <c r="O133" i="2"/>
  <c r="K133" i="2"/>
  <c r="J133" i="2"/>
  <c r="I133" i="2"/>
  <c r="H133" i="2"/>
  <c r="G133" i="2"/>
  <c r="L133" i="2" s="1"/>
  <c r="F133" i="2"/>
  <c r="E133" i="2"/>
  <c r="D133" i="2"/>
  <c r="C133" i="2"/>
  <c r="P133" i="2" s="1"/>
  <c r="B133" i="2"/>
  <c r="A133" i="2"/>
  <c r="P132" i="2"/>
  <c r="M132" i="2"/>
  <c r="L132" i="2"/>
  <c r="K132" i="2"/>
  <c r="J132" i="2"/>
  <c r="I132" i="2"/>
  <c r="H132" i="2"/>
  <c r="G132" i="2"/>
  <c r="F132" i="2"/>
  <c r="O132" i="2" s="1"/>
  <c r="E132" i="2"/>
  <c r="D132" i="2"/>
  <c r="C132" i="2"/>
  <c r="B132" i="2"/>
  <c r="N132" i="2" s="1"/>
  <c r="A132" i="2"/>
  <c r="O131" i="2"/>
  <c r="K131" i="2"/>
  <c r="J131" i="2"/>
  <c r="I131" i="2"/>
  <c r="H131" i="2"/>
  <c r="G131" i="2"/>
  <c r="L131" i="2" s="1"/>
  <c r="F131" i="2"/>
  <c r="E131" i="2"/>
  <c r="D131" i="2"/>
  <c r="C131" i="2"/>
  <c r="B131" i="2"/>
  <c r="A131" i="2"/>
  <c r="P130" i="2"/>
  <c r="M130" i="2"/>
  <c r="L130" i="2"/>
  <c r="K130" i="2"/>
  <c r="J130" i="2"/>
  <c r="I130" i="2"/>
  <c r="H130" i="2"/>
  <c r="G130" i="2"/>
  <c r="F130" i="2"/>
  <c r="O130" i="2" s="1"/>
  <c r="E130" i="2"/>
  <c r="Q130" i="2" s="1"/>
  <c r="R130" i="2" s="1"/>
  <c r="D130" i="2"/>
  <c r="C130" i="2"/>
  <c r="B130" i="2"/>
  <c r="N130" i="2" s="1"/>
  <c r="A130" i="2"/>
  <c r="K129" i="2"/>
  <c r="J129" i="2"/>
  <c r="I129" i="2"/>
  <c r="H129" i="2"/>
  <c r="G129" i="2"/>
  <c r="L129" i="2" s="1"/>
  <c r="F129" i="2"/>
  <c r="O129" i="2" s="1"/>
  <c r="E129" i="2"/>
  <c r="D129" i="2"/>
  <c r="C129" i="2"/>
  <c r="B129" i="2"/>
  <c r="A129" i="2"/>
  <c r="P128" i="2"/>
  <c r="M128" i="2"/>
  <c r="L128" i="2"/>
  <c r="K128" i="2"/>
  <c r="J128" i="2"/>
  <c r="I128" i="2"/>
  <c r="H128" i="2"/>
  <c r="G128" i="2"/>
  <c r="F128" i="2"/>
  <c r="O128" i="2" s="1"/>
  <c r="E128" i="2"/>
  <c r="D128" i="2"/>
  <c r="C128" i="2"/>
  <c r="B128" i="2"/>
  <c r="N128" i="2" s="1"/>
  <c r="A128" i="2"/>
  <c r="O127" i="2"/>
  <c r="N127" i="2"/>
  <c r="K127" i="2"/>
  <c r="J127" i="2"/>
  <c r="I127" i="2"/>
  <c r="H127" i="2"/>
  <c r="G127" i="2"/>
  <c r="L127" i="2" s="1"/>
  <c r="F127" i="2"/>
  <c r="E127" i="2"/>
  <c r="D127" i="2"/>
  <c r="C127" i="2"/>
  <c r="P127" i="2" s="1"/>
  <c r="B127" i="2"/>
  <c r="A127" i="2"/>
  <c r="P126" i="2"/>
  <c r="M126" i="2"/>
  <c r="L126" i="2"/>
  <c r="K126" i="2"/>
  <c r="J126" i="2"/>
  <c r="I126" i="2"/>
  <c r="H126" i="2"/>
  <c r="G126" i="2"/>
  <c r="F126" i="2"/>
  <c r="O126" i="2" s="1"/>
  <c r="E126" i="2"/>
  <c r="D126" i="2"/>
  <c r="C126" i="2"/>
  <c r="B126" i="2"/>
  <c r="N126" i="2" s="1"/>
  <c r="A126" i="2"/>
  <c r="O125" i="2"/>
  <c r="N125" i="2"/>
  <c r="K125" i="2"/>
  <c r="J125" i="2"/>
  <c r="I125" i="2"/>
  <c r="H125" i="2"/>
  <c r="G125" i="2"/>
  <c r="L125" i="2" s="1"/>
  <c r="F125" i="2"/>
  <c r="E125" i="2"/>
  <c r="D125" i="2"/>
  <c r="C125" i="2"/>
  <c r="B125" i="2"/>
  <c r="A125" i="2"/>
  <c r="M124" i="2"/>
  <c r="L124" i="2"/>
  <c r="K124" i="2"/>
  <c r="J124" i="2"/>
  <c r="P124" i="2" s="1"/>
  <c r="I124" i="2"/>
  <c r="H124" i="2"/>
  <c r="G124" i="2"/>
  <c r="F124" i="2"/>
  <c r="O124" i="2" s="1"/>
  <c r="E124" i="2"/>
  <c r="D124" i="2"/>
  <c r="C124" i="2"/>
  <c r="B124" i="2"/>
  <c r="Q124" i="2" s="1"/>
  <c r="R124" i="2" s="1"/>
  <c r="A124" i="2"/>
  <c r="N123" i="2"/>
  <c r="K123" i="2"/>
  <c r="J123" i="2"/>
  <c r="I123" i="2"/>
  <c r="H123" i="2"/>
  <c r="G123" i="2"/>
  <c r="L123" i="2" s="1"/>
  <c r="F123" i="2"/>
  <c r="O123" i="2" s="1"/>
  <c r="E123" i="2"/>
  <c r="D123" i="2"/>
  <c r="C123" i="2"/>
  <c r="P123" i="2" s="1"/>
  <c r="B123" i="2"/>
  <c r="A123" i="2"/>
  <c r="L122" i="2"/>
  <c r="K122" i="2"/>
  <c r="J122" i="2"/>
  <c r="P122" i="2" s="1"/>
  <c r="I122" i="2"/>
  <c r="H122" i="2"/>
  <c r="G122" i="2"/>
  <c r="F122" i="2"/>
  <c r="O122" i="2" s="1"/>
  <c r="E122" i="2"/>
  <c r="D122" i="2"/>
  <c r="C122" i="2"/>
  <c r="B122" i="2"/>
  <c r="M122" i="2" s="1"/>
  <c r="A122" i="2"/>
  <c r="K121" i="2"/>
  <c r="J121" i="2"/>
  <c r="I121" i="2"/>
  <c r="H121" i="2"/>
  <c r="G121" i="2"/>
  <c r="L121" i="2" s="1"/>
  <c r="F121" i="2"/>
  <c r="O121" i="2" s="1"/>
  <c r="E121" i="2"/>
  <c r="D121" i="2"/>
  <c r="C121" i="2"/>
  <c r="P121" i="2" s="1"/>
  <c r="B121" i="2"/>
  <c r="A121" i="2"/>
  <c r="P120" i="2"/>
  <c r="M120" i="2"/>
  <c r="L120" i="2"/>
  <c r="K120" i="2"/>
  <c r="J120" i="2"/>
  <c r="I120" i="2"/>
  <c r="H120" i="2"/>
  <c r="G120" i="2"/>
  <c r="F120" i="2"/>
  <c r="O120" i="2" s="1"/>
  <c r="E120" i="2"/>
  <c r="D120" i="2"/>
  <c r="C120" i="2"/>
  <c r="B120" i="2"/>
  <c r="N120" i="2" s="1"/>
  <c r="A120" i="2"/>
  <c r="N119" i="2"/>
  <c r="K119" i="2"/>
  <c r="J119" i="2"/>
  <c r="I119" i="2"/>
  <c r="H119" i="2"/>
  <c r="G119" i="2"/>
  <c r="L119" i="2" s="1"/>
  <c r="F119" i="2"/>
  <c r="O119" i="2" s="1"/>
  <c r="E119" i="2"/>
  <c r="D119" i="2"/>
  <c r="C119" i="2"/>
  <c r="P119" i="2" s="1"/>
  <c r="B119" i="2"/>
  <c r="A119" i="2"/>
  <c r="M118" i="2"/>
  <c r="L118" i="2"/>
  <c r="K118" i="2"/>
  <c r="J118" i="2"/>
  <c r="P118" i="2" s="1"/>
  <c r="I118" i="2"/>
  <c r="H118" i="2"/>
  <c r="G118" i="2"/>
  <c r="F118" i="2"/>
  <c r="O118" i="2" s="1"/>
  <c r="E118" i="2"/>
  <c r="D118" i="2"/>
  <c r="C118" i="2"/>
  <c r="B118" i="2"/>
  <c r="N118" i="2" s="1"/>
  <c r="A118" i="2"/>
  <c r="N117" i="2"/>
  <c r="L117" i="2"/>
  <c r="K117" i="2"/>
  <c r="J117" i="2"/>
  <c r="I117" i="2"/>
  <c r="H117" i="2"/>
  <c r="G117" i="2"/>
  <c r="F117" i="2"/>
  <c r="O117" i="2" s="1"/>
  <c r="E117" i="2"/>
  <c r="D117" i="2"/>
  <c r="C117" i="2"/>
  <c r="P117" i="2" s="1"/>
  <c r="B117" i="2"/>
  <c r="A117" i="2"/>
  <c r="M116" i="2"/>
  <c r="L116" i="2"/>
  <c r="K116" i="2"/>
  <c r="J116" i="2"/>
  <c r="P116" i="2" s="1"/>
  <c r="I116" i="2"/>
  <c r="H116" i="2"/>
  <c r="G116" i="2"/>
  <c r="F116" i="2"/>
  <c r="O116" i="2" s="1"/>
  <c r="E116" i="2"/>
  <c r="D116" i="2"/>
  <c r="C116" i="2"/>
  <c r="B116" i="2"/>
  <c r="A116" i="2"/>
  <c r="N115" i="2"/>
  <c r="K115" i="2"/>
  <c r="J115" i="2"/>
  <c r="I115" i="2"/>
  <c r="H115" i="2"/>
  <c r="G115" i="2"/>
  <c r="L115" i="2" s="1"/>
  <c r="F115" i="2"/>
  <c r="O115" i="2" s="1"/>
  <c r="E115" i="2"/>
  <c r="D115" i="2"/>
  <c r="C115" i="2"/>
  <c r="P115" i="2" s="1"/>
  <c r="B115" i="2"/>
  <c r="A115" i="2"/>
  <c r="L114" i="2"/>
  <c r="K114" i="2"/>
  <c r="J114" i="2"/>
  <c r="P114" i="2" s="1"/>
  <c r="I114" i="2"/>
  <c r="H114" i="2"/>
  <c r="G114" i="2"/>
  <c r="F114" i="2"/>
  <c r="O114" i="2" s="1"/>
  <c r="E114" i="2"/>
  <c r="D114" i="2"/>
  <c r="C114" i="2"/>
  <c r="B114" i="2"/>
  <c r="M114" i="2" s="1"/>
  <c r="A114" i="2"/>
  <c r="L113" i="2"/>
  <c r="K113" i="2"/>
  <c r="J113" i="2"/>
  <c r="P113" i="2" s="1"/>
  <c r="I113" i="2"/>
  <c r="H113" i="2"/>
  <c r="G113" i="2"/>
  <c r="F113" i="2"/>
  <c r="O113" i="2" s="1"/>
  <c r="E113" i="2"/>
  <c r="D113" i="2"/>
  <c r="C113" i="2"/>
  <c r="B113" i="2"/>
  <c r="N113" i="2" s="1"/>
  <c r="A113" i="2"/>
  <c r="L112" i="2"/>
  <c r="K112" i="2"/>
  <c r="J112" i="2"/>
  <c r="P112" i="2" s="1"/>
  <c r="I112" i="2"/>
  <c r="H112" i="2"/>
  <c r="G112" i="2"/>
  <c r="F112" i="2"/>
  <c r="O112" i="2" s="1"/>
  <c r="E112" i="2"/>
  <c r="D112" i="2"/>
  <c r="C112" i="2"/>
  <c r="B112" i="2"/>
  <c r="A112" i="2"/>
  <c r="L111" i="2"/>
  <c r="K111" i="2"/>
  <c r="J111" i="2"/>
  <c r="P111" i="2" s="1"/>
  <c r="I111" i="2"/>
  <c r="H111" i="2"/>
  <c r="G111" i="2"/>
  <c r="F111" i="2"/>
  <c r="O111" i="2" s="1"/>
  <c r="E111" i="2"/>
  <c r="D111" i="2"/>
  <c r="C111" i="2"/>
  <c r="B111" i="2"/>
  <c r="N111" i="2" s="1"/>
  <c r="A111" i="2"/>
  <c r="L110" i="2"/>
  <c r="K110" i="2"/>
  <c r="J110" i="2"/>
  <c r="P110" i="2" s="1"/>
  <c r="I110" i="2"/>
  <c r="H110" i="2"/>
  <c r="G110" i="2"/>
  <c r="F110" i="2"/>
  <c r="O110" i="2" s="1"/>
  <c r="E110" i="2"/>
  <c r="D110" i="2"/>
  <c r="C110" i="2"/>
  <c r="B110" i="2"/>
  <c r="A110" i="2"/>
  <c r="L109" i="2"/>
  <c r="K109" i="2"/>
  <c r="J109" i="2"/>
  <c r="P109" i="2" s="1"/>
  <c r="I109" i="2"/>
  <c r="H109" i="2"/>
  <c r="G109" i="2"/>
  <c r="F109" i="2"/>
  <c r="O109" i="2" s="1"/>
  <c r="E109" i="2"/>
  <c r="D109" i="2"/>
  <c r="C109" i="2"/>
  <c r="B109" i="2"/>
  <c r="N109" i="2" s="1"/>
  <c r="A109" i="2"/>
  <c r="L108" i="2"/>
  <c r="K108" i="2"/>
  <c r="J108" i="2"/>
  <c r="P108" i="2" s="1"/>
  <c r="I108" i="2"/>
  <c r="H108" i="2"/>
  <c r="G108" i="2"/>
  <c r="F108" i="2"/>
  <c r="O108" i="2" s="1"/>
  <c r="E108" i="2"/>
  <c r="D108" i="2"/>
  <c r="C108" i="2"/>
  <c r="B108" i="2"/>
  <c r="A108" i="2"/>
  <c r="P107" i="2"/>
  <c r="L107" i="2"/>
  <c r="K107" i="2"/>
  <c r="J107" i="2"/>
  <c r="I107" i="2"/>
  <c r="H107" i="2"/>
  <c r="G107" i="2"/>
  <c r="F107" i="2"/>
  <c r="O107" i="2" s="1"/>
  <c r="E107" i="2"/>
  <c r="D107" i="2"/>
  <c r="C107" i="2"/>
  <c r="B107" i="2"/>
  <c r="N107" i="2" s="1"/>
  <c r="A107" i="2"/>
  <c r="L106" i="2"/>
  <c r="K106" i="2"/>
  <c r="J106" i="2"/>
  <c r="P106" i="2" s="1"/>
  <c r="I106" i="2"/>
  <c r="H106" i="2"/>
  <c r="G106" i="2"/>
  <c r="F106" i="2"/>
  <c r="O106" i="2" s="1"/>
  <c r="E106" i="2"/>
  <c r="D106" i="2"/>
  <c r="C106" i="2"/>
  <c r="B106" i="2"/>
  <c r="A106" i="2"/>
  <c r="P105" i="2"/>
  <c r="L105" i="2"/>
  <c r="K105" i="2"/>
  <c r="J105" i="2"/>
  <c r="I105" i="2"/>
  <c r="H105" i="2"/>
  <c r="G105" i="2"/>
  <c r="F105" i="2"/>
  <c r="O105" i="2" s="1"/>
  <c r="E105" i="2"/>
  <c r="D105" i="2"/>
  <c r="C105" i="2"/>
  <c r="B105" i="2"/>
  <c r="N105" i="2" s="1"/>
  <c r="A105" i="2"/>
  <c r="L104" i="2"/>
  <c r="K104" i="2"/>
  <c r="J104" i="2"/>
  <c r="P104" i="2" s="1"/>
  <c r="I104" i="2"/>
  <c r="H104" i="2"/>
  <c r="G104" i="2"/>
  <c r="F104" i="2"/>
  <c r="O104" i="2" s="1"/>
  <c r="E104" i="2"/>
  <c r="D104" i="2"/>
  <c r="C104" i="2"/>
  <c r="B104" i="2"/>
  <c r="A104" i="2"/>
  <c r="P103" i="2"/>
  <c r="L103" i="2"/>
  <c r="K103" i="2"/>
  <c r="J103" i="2"/>
  <c r="I103" i="2"/>
  <c r="H103" i="2"/>
  <c r="G103" i="2"/>
  <c r="F103" i="2"/>
  <c r="O103" i="2" s="1"/>
  <c r="E103" i="2"/>
  <c r="D103" i="2"/>
  <c r="C103" i="2"/>
  <c r="B103" i="2"/>
  <c r="N103" i="2" s="1"/>
  <c r="A103" i="2"/>
  <c r="L102" i="2"/>
  <c r="K102" i="2"/>
  <c r="J102" i="2"/>
  <c r="P102" i="2" s="1"/>
  <c r="I102" i="2"/>
  <c r="H102" i="2"/>
  <c r="G102" i="2"/>
  <c r="F102" i="2"/>
  <c r="O102" i="2" s="1"/>
  <c r="E102" i="2"/>
  <c r="D102" i="2"/>
  <c r="C102" i="2"/>
  <c r="B102" i="2"/>
  <c r="N102" i="2" s="1"/>
  <c r="A102" i="2"/>
  <c r="P101" i="2"/>
  <c r="L101" i="2"/>
  <c r="K101" i="2"/>
  <c r="J101" i="2"/>
  <c r="I101" i="2"/>
  <c r="H101" i="2"/>
  <c r="G101" i="2"/>
  <c r="F101" i="2"/>
  <c r="O101" i="2" s="1"/>
  <c r="E101" i="2"/>
  <c r="D101" i="2"/>
  <c r="C101" i="2"/>
  <c r="B101" i="2"/>
  <c r="N101" i="2" s="1"/>
  <c r="A101" i="2"/>
  <c r="L100" i="2"/>
  <c r="K100" i="2"/>
  <c r="J100" i="2"/>
  <c r="P100" i="2" s="1"/>
  <c r="I100" i="2"/>
  <c r="H100" i="2"/>
  <c r="G100" i="2"/>
  <c r="F100" i="2"/>
  <c r="O100" i="2" s="1"/>
  <c r="E100" i="2"/>
  <c r="D100" i="2"/>
  <c r="C100" i="2"/>
  <c r="B100" i="2"/>
  <c r="A100" i="2"/>
  <c r="N99" i="2"/>
  <c r="L99" i="2"/>
  <c r="K99" i="2"/>
  <c r="J99" i="2"/>
  <c r="P99" i="2" s="1"/>
  <c r="I99" i="2"/>
  <c r="H99" i="2"/>
  <c r="G99" i="2"/>
  <c r="F99" i="2"/>
  <c r="O99" i="2" s="1"/>
  <c r="E99" i="2"/>
  <c r="D99" i="2"/>
  <c r="C99" i="2"/>
  <c r="B99" i="2"/>
  <c r="A99" i="2"/>
  <c r="L98" i="2"/>
  <c r="K98" i="2"/>
  <c r="J98" i="2"/>
  <c r="P98" i="2" s="1"/>
  <c r="I98" i="2"/>
  <c r="H98" i="2"/>
  <c r="G98" i="2"/>
  <c r="F98" i="2"/>
  <c r="O98" i="2" s="1"/>
  <c r="E98" i="2"/>
  <c r="D98" i="2"/>
  <c r="C98" i="2"/>
  <c r="B98" i="2"/>
  <c r="N98" i="2" s="1"/>
  <c r="A98" i="2"/>
  <c r="L97" i="2"/>
  <c r="K97" i="2"/>
  <c r="J97" i="2"/>
  <c r="P97" i="2" s="1"/>
  <c r="I97" i="2"/>
  <c r="H97" i="2"/>
  <c r="G97" i="2"/>
  <c r="F97" i="2"/>
  <c r="O97" i="2" s="1"/>
  <c r="E97" i="2"/>
  <c r="D97" i="2"/>
  <c r="C97" i="2"/>
  <c r="B97" i="2"/>
  <c r="N97" i="2" s="1"/>
  <c r="A97" i="2"/>
  <c r="L96" i="2"/>
  <c r="K96" i="2"/>
  <c r="J96" i="2"/>
  <c r="P96" i="2" s="1"/>
  <c r="I96" i="2"/>
  <c r="H96" i="2"/>
  <c r="G96" i="2"/>
  <c r="F96" i="2"/>
  <c r="O96" i="2" s="1"/>
  <c r="E96" i="2"/>
  <c r="D96" i="2"/>
  <c r="C96" i="2"/>
  <c r="B96" i="2"/>
  <c r="A96" i="2"/>
  <c r="N95" i="2"/>
  <c r="L95" i="2"/>
  <c r="K95" i="2"/>
  <c r="J95" i="2"/>
  <c r="P95" i="2" s="1"/>
  <c r="I95" i="2"/>
  <c r="H95" i="2"/>
  <c r="G95" i="2"/>
  <c r="F95" i="2"/>
  <c r="O95" i="2" s="1"/>
  <c r="E95" i="2"/>
  <c r="D95" i="2"/>
  <c r="C95" i="2"/>
  <c r="B95" i="2"/>
  <c r="A95" i="2"/>
  <c r="L94" i="2"/>
  <c r="K94" i="2"/>
  <c r="J94" i="2"/>
  <c r="P94" i="2" s="1"/>
  <c r="I94" i="2"/>
  <c r="H94" i="2"/>
  <c r="G94" i="2"/>
  <c r="F94" i="2"/>
  <c r="O94" i="2" s="1"/>
  <c r="E94" i="2"/>
  <c r="D94" i="2"/>
  <c r="C94" i="2"/>
  <c r="B94" i="2"/>
  <c r="N94" i="2" s="1"/>
  <c r="A94" i="2"/>
  <c r="L93" i="2"/>
  <c r="K93" i="2"/>
  <c r="J93" i="2"/>
  <c r="P93" i="2" s="1"/>
  <c r="I93" i="2"/>
  <c r="H93" i="2"/>
  <c r="G93" i="2"/>
  <c r="F93" i="2"/>
  <c r="O93" i="2" s="1"/>
  <c r="E93" i="2"/>
  <c r="D93" i="2"/>
  <c r="C93" i="2"/>
  <c r="B93" i="2"/>
  <c r="N93" i="2" s="1"/>
  <c r="A93" i="2"/>
  <c r="L92" i="2"/>
  <c r="K92" i="2"/>
  <c r="J92" i="2"/>
  <c r="P92" i="2" s="1"/>
  <c r="I92" i="2"/>
  <c r="H92" i="2"/>
  <c r="G92" i="2"/>
  <c r="F92" i="2"/>
  <c r="O92" i="2" s="1"/>
  <c r="E92" i="2"/>
  <c r="D92" i="2"/>
  <c r="C92" i="2"/>
  <c r="B92" i="2"/>
  <c r="A92" i="2"/>
  <c r="N91" i="2"/>
  <c r="L91" i="2"/>
  <c r="K91" i="2"/>
  <c r="J91" i="2"/>
  <c r="P91" i="2" s="1"/>
  <c r="I91" i="2"/>
  <c r="H91" i="2"/>
  <c r="G91" i="2"/>
  <c r="F91" i="2"/>
  <c r="O91" i="2" s="1"/>
  <c r="E91" i="2"/>
  <c r="D91" i="2"/>
  <c r="C91" i="2"/>
  <c r="B91" i="2"/>
  <c r="A91" i="2"/>
  <c r="L90" i="2"/>
  <c r="K90" i="2"/>
  <c r="J90" i="2"/>
  <c r="P90" i="2" s="1"/>
  <c r="I90" i="2"/>
  <c r="H90" i="2"/>
  <c r="G90" i="2"/>
  <c r="F90" i="2"/>
  <c r="O90" i="2" s="1"/>
  <c r="E90" i="2"/>
  <c r="D90" i="2"/>
  <c r="C90" i="2"/>
  <c r="B90" i="2"/>
  <c r="N90" i="2" s="1"/>
  <c r="A90" i="2"/>
  <c r="L89" i="2"/>
  <c r="K89" i="2"/>
  <c r="J89" i="2"/>
  <c r="P89" i="2" s="1"/>
  <c r="I89" i="2"/>
  <c r="H89" i="2"/>
  <c r="G89" i="2"/>
  <c r="F89" i="2"/>
  <c r="O89" i="2" s="1"/>
  <c r="E89" i="2"/>
  <c r="D89" i="2"/>
  <c r="C89" i="2"/>
  <c r="B89" i="2"/>
  <c r="N89" i="2" s="1"/>
  <c r="A89" i="2"/>
  <c r="L88" i="2"/>
  <c r="K88" i="2"/>
  <c r="J88" i="2"/>
  <c r="P88" i="2" s="1"/>
  <c r="I88" i="2"/>
  <c r="H88" i="2"/>
  <c r="G88" i="2"/>
  <c r="F88" i="2"/>
  <c r="O88" i="2" s="1"/>
  <c r="E88" i="2"/>
  <c r="D88" i="2"/>
  <c r="C88" i="2"/>
  <c r="B88" i="2"/>
  <c r="A88" i="2"/>
  <c r="N87" i="2"/>
  <c r="L87" i="2"/>
  <c r="K87" i="2"/>
  <c r="J87" i="2"/>
  <c r="P87" i="2" s="1"/>
  <c r="I87" i="2"/>
  <c r="H87" i="2"/>
  <c r="G87" i="2"/>
  <c r="F87" i="2"/>
  <c r="O87" i="2" s="1"/>
  <c r="E87" i="2"/>
  <c r="D87" i="2"/>
  <c r="C87" i="2"/>
  <c r="B87" i="2"/>
  <c r="A87" i="2"/>
  <c r="L86" i="2"/>
  <c r="K86" i="2"/>
  <c r="J86" i="2"/>
  <c r="P86" i="2" s="1"/>
  <c r="I86" i="2"/>
  <c r="H86" i="2"/>
  <c r="G86" i="2"/>
  <c r="F86" i="2"/>
  <c r="O86" i="2" s="1"/>
  <c r="E86" i="2"/>
  <c r="D86" i="2"/>
  <c r="C86" i="2"/>
  <c r="B86" i="2"/>
  <c r="N86" i="2" s="1"/>
  <c r="A86" i="2"/>
  <c r="L85" i="2"/>
  <c r="K85" i="2"/>
  <c r="J85" i="2"/>
  <c r="P85" i="2" s="1"/>
  <c r="I85" i="2"/>
  <c r="H85" i="2"/>
  <c r="G85" i="2"/>
  <c r="F85" i="2"/>
  <c r="O85" i="2" s="1"/>
  <c r="E85" i="2"/>
  <c r="D85" i="2"/>
  <c r="C85" i="2"/>
  <c r="B85" i="2"/>
  <c r="N85" i="2" s="1"/>
  <c r="A85" i="2"/>
  <c r="L84" i="2"/>
  <c r="K84" i="2"/>
  <c r="J84" i="2"/>
  <c r="P84" i="2" s="1"/>
  <c r="I84" i="2"/>
  <c r="H84" i="2"/>
  <c r="G84" i="2"/>
  <c r="F84" i="2"/>
  <c r="O84" i="2" s="1"/>
  <c r="E84" i="2"/>
  <c r="D84" i="2"/>
  <c r="C84" i="2"/>
  <c r="B84" i="2"/>
  <c r="A84" i="2"/>
  <c r="N83" i="2"/>
  <c r="L83" i="2"/>
  <c r="K83" i="2"/>
  <c r="J83" i="2"/>
  <c r="P83" i="2" s="1"/>
  <c r="I83" i="2"/>
  <c r="H83" i="2"/>
  <c r="G83" i="2"/>
  <c r="F83" i="2"/>
  <c r="O83" i="2" s="1"/>
  <c r="E83" i="2"/>
  <c r="D83" i="2"/>
  <c r="C83" i="2"/>
  <c r="B83" i="2"/>
  <c r="A83" i="2"/>
  <c r="N82" i="2"/>
  <c r="L82" i="2"/>
  <c r="K82" i="2"/>
  <c r="J82" i="2"/>
  <c r="I82" i="2"/>
  <c r="H82" i="2"/>
  <c r="G82" i="2"/>
  <c r="F82" i="2"/>
  <c r="O82" i="2" s="1"/>
  <c r="E82" i="2"/>
  <c r="D82" i="2"/>
  <c r="C82" i="2"/>
  <c r="P82" i="2" s="1"/>
  <c r="B82" i="2"/>
  <c r="A82" i="2"/>
  <c r="L81" i="2"/>
  <c r="K81" i="2"/>
  <c r="J81" i="2"/>
  <c r="P81" i="2" s="1"/>
  <c r="I81" i="2"/>
  <c r="H81" i="2"/>
  <c r="G81" i="2"/>
  <c r="F81" i="2"/>
  <c r="O81" i="2" s="1"/>
  <c r="E81" i="2"/>
  <c r="D81" i="2"/>
  <c r="C81" i="2"/>
  <c r="B81" i="2"/>
  <c r="M81" i="2" s="1"/>
  <c r="A81" i="2"/>
  <c r="K80" i="2"/>
  <c r="J80" i="2"/>
  <c r="I80" i="2"/>
  <c r="H80" i="2"/>
  <c r="G80" i="2"/>
  <c r="L80" i="2" s="1"/>
  <c r="F80" i="2"/>
  <c r="O80" i="2" s="1"/>
  <c r="E80" i="2"/>
  <c r="D80" i="2"/>
  <c r="C80" i="2"/>
  <c r="P80" i="2" s="1"/>
  <c r="B80" i="2"/>
  <c r="A80" i="2"/>
  <c r="P79" i="2"/>
  <c r="L79" i="2"/>
  <c r="K79" i="2"/>
  <c r="J79" i="2"/>
  <c r="I79" i="2"/>
  <c r="H79" i="2"/>
  <c r="G79" i="2"/>
  <c r="F79" i="2"/>
  <c r="O79" i="2" s="1"/>
  <c r="E79" i="2"/>
  <c r="D79" i="2"/>
  <c r="C79" i="2"/>
  <c r="B79" i="2"/>
  <c r="N79" i="2" s="1"/>
  <c r="A79" i="2"/>
  <c r="K78" i="2"/>
  <c r="J78" i="2"/>
  <c r="I78" i="2"/>
  <c r="H78" i="2"/>
  <c r="G78" i="2"/>
  <c r="L78" i="2" s="1"/>
  <c r="F78" i="2"/>
  <c r="O78" i="2" s="1"/>
  <c r="E78" i="2"/>
  <c r="D78" i="2"/>
  <c r="C78" i="2"/>
  <c r="P78" i="2" s="1"/>
  <c r="B78" i="2"/>
  <c r="N78" i="2" s="1"/>
  <c r="A78" i="2"/>
  <c r="P77" i="2"/>
  <c r="M77" i="2"/>
  <c r="L77" i="2"/>
  <c r="K77" i="2"/>
  <c r="J77" i="2"/>
  <c r="I77" i="2"/>
  <c r="H77" i="2"/>
  <c r="G77" i="2"/>
  <c r="F77" i="2"/>
  <c r="O77" i="2" s="1"/>
  <c r="E77" i="2"/>
  <c r="D77" i="2"/>
  <c r="C77" i="2"/>
  <c r="B77" i="2"/>
  <c r="N77" i="2" s="1"/>
  <c r="A77" i="2"/>
  <c r="P76" i="2"/>
  <c r="M76" i="2"/>
  <c r="L76" i="2"/>
  <c r="K76" i="2"/>
  <c r="J76" i="2"/>
  <c r="I76" i="2"/>
  <c r="H76" i="2"/>
  <c r="G76" i="2"/>
  <c r="F76" i="2"/>
  <c r="O76" i="2" s="1"/>
  <c r="E76" i="2"/>
  <c r="D76" i="2"/>
  <c r="C76" i="2"/>
  <c r="B76" i="2"/>
  <c r="A76" i="2"/>
  <c r="O75" i="2"/>
  <c r="K75" i="2"/>
  <c r="J75" i="2"/>
  <c r="I75" i="2"/>
  <c r="H75" i="2"/>
  <c r="G75" i="2"/>
  <c r="L75" i="2" s="1"/>
  <c r="F75" i="2"/>
  <c r="E75" i="2"/>
  <c r="D75" i="2"/>
  <c r="C75" i="2"/>
  <c r="P75" i="2" s="1"/>
  <c r="B75" i="2"/>
  <c r="N75" i="2" s="1"/>
  <c r="A75" i="2"/>
  <c r="P74" i="2"/>
  <c r="M74" i="2"/>
  <c r="L74" i="2"/>
  <c r="K74" i="2"/>
  <c r="J74" i="2"/>
  <c r="I74" i="2"/>
  <c r="H74" i="2"/>
  <c r="G74" i="2"/>
  <c r="F74" i="2"/>
  <c r="O74" i="2" s="1"/>
  <c r="E74" i="2"/>
  <c r="D74" i="2"/>
  <c r="C74" i="2"/>
  <c r="B74" i="2"/>
  <c r="N74" i="2" s="1"/>
  <c r="A74" i="2"/>
  <c r="K73" i="2"/>
  <c r="J73" i="2"/>
  <c r="I73" i="2"/>
  <c r="H73" i="2"/>
  <c r="G73" i="2"/>
  <c r="L73" i="2" s="1"/>
  <c r="F73" i="2"/>
  <c r="O73" i="2" s="1"/>
  <c r="E73" i="2"/>
  <c r="D73" i="2"/>
  <c r="C73" i="2"/>
  <c r="P73" i="2" s="1"/>
  <c r="B73" i="2"/>
  <c r="N73" i="2" s="1"/>
  <c r="A73" i="2"/>
  <c r="P72" i="2"/>
  <c r="M72" i="2"/>
  <c r="L72" i="2"/>
  <c r="K72" i="2"/>
  <c r="J72" i="2"/>
  <c r="I72" i="2"/>
  <c r="H72" i="2"/>
  <c r="G72" i="2"/>
  <c r="F72" i="2"/>
  <c r="O72" i="2" s="1"/>
  <c r="E72" i="2"/>
  <c r="Q72" i="2" s="1"/>
  <c r="R72" i="2" s="1"/>
  <c r="D72" i="2"/>
  <c r="C72" i="2"/>
  <c r="B72" i="2"/>
  <c r="N72" i="2" s="1"/>
  <c r="A72" i="2"/>
  <c r="K71" i="2"/>
  <c r="J71" i="2"/>
  <c r="I71" i="2"/>
  <c r="H71" i="2"/>
  <c r="G71" i="2"/>
  <c r="L71" i="2" s="1"/>
  <c r="F71" i="2"/>
  <c r="O71" i="2" s="1"/>
  <c r="E71" i="2"/>
  <c r="D71" i="2"/>
  <c r="C71" i="2"/>
  <c r="P71" i="2" s="1"/>
  <c r="B71" i="2"/>
  <c r="N71" i="2" s="1"/>
  <c r="A71" i="2"/>
  <c r="P70" i="2"/>
  <c r="M70" i="2"/>
  <c r="L70" i="2"/>
  <c r="K70" i="2"/>
  <c r="J70" i="2"/>
  <c r="I70" i="2"/>
  <c r="H70" i="2"/>
  <c r="G70" i="2"/>
  <c r="F70" i="2"/>
  <c r="O70" i="2" s="1"/>
  <c r="E70" i="2"/>
  <c r="D70" i="2"/>
  <c r="C70" i="2"/>
  <c r="B70" i="2"/>
  <c r="N70" i="2" s="1"/>
  <c r="A70" i="2"/>
  <c r="K69" i="2"/>
  <c r="J69" i="2"/>
  <c r="I69" i="2"/>
  <c r="H69" i="2"/>
  <c r="G69" i="2"/>
  <c r="L69" i="2" s="1"/>
  <c r="F69" i="2"/>
  <c r="O69" i="2" s="1"/>
  <c r="E69" i="2"/>
  <c r="D69" i="2"/>
  <c r="C69" i="2"/>
  <c r="P69" i="2" s="1"/>
  <c r="B69" i="2"/>
  <c r="N69" i="2" s="1"/>
  <c r="A69" i="2"/>
  <c r="P68" i="2"/>
  <c r="M68" i="2"/>
  <c r="L68" i="2"/>
  <c r="K68" i="2"/>
  <c r="J68" i="2"/>
  <c r="I68" i="2"/>
  <c r="H68" i="2"/>
  <c r="G68" i="2"/>
  <c r="F68" i="2"/>
  <c r="O68" i="2" s="1"/>
  <c r="E68" i="2"/>
  <c r="D68" i="2"/>
  <c r="C68" i="2"/>
  <c r="B68" i="2"/>
  <c r="N68" i="2" s="1"/>
  <c r="A68" i="2"/>
  <c r="K67" i="2"/>
  <c r="J67" i="2"/>
  <c r="I67" i="2"/>
  <c r="H67" i="2"/>
  <c r="G67" i="2"/>
  <c r="L67" i="2" s="1"/>
  <c r="F67" i="2"/>
  <c r="O67" i="2" s="1"/>
  <c r="E67" i="2"/>
  <c r="D67" i="2"/>
  <c r="C67" i="2"/>
  <c r="P67" i="2" s="1"/>
  <c r="B67" i="2"/>
  <c r="N67" i="2" s="1"/>
  <c r="A67" i="2"/>
  <c r="P66" i="2"/>
  <c r="M66" i="2"/>
  <c r="L66" i="2"/>
  <c r="K66" i="2"/>
  <c r="J66" i="2"/>
  <c r="I66" i="2"/>
  <c r="H66" i="2"/>
  <c r="G66" i="2"/>
  <c r="F66" i="2"/>
  <c r="O66" i="2" s="1"/>
  <c r="E66" i="2"/>
  <c r="D66" i="2"/>
  <c r="C66" i="2"/>
  <c r="B66" i="2"/>
  <c r="N66" i="2" s="1"/>
  <c r="A66" i="2"/>
  <c r="K65" i="2"/>
  <c r="J65" i="2"/>
  <c r="I65" i="2"/>
  <c r="H65" i="2"/>
  <c r="G65" i="2"/>
  <c r="L65" i="2" s="1"/>
  <c r="F65" i="2"/>
  <c r="O65" i="2" s="1"/>
  <c r="E65" i="2"/>
  <c r="D65" i="2"/>
  <c r="C65" i="2"/>
  <c r="P65" i="2" s="1"/>
  <c r="B65" i="2"/>
  <c r="N65" i="2" s="1"/>
  <c r="A65" i="2"/>
  <c r="P64" i="2"/>
  <c r="L64" i="2"/>
  <c r="K64" i="2"/>
  <c r="J64" i="2"/>
  <c r="I64" i="2"/>
  <c r="H64" i="2"/>
  <c r="G64" i="2"/>
  <c r="F64" i="2"/>
  <c r="O64" i="2" s="1"/>
  <c r="E64" i="2"/>
  <c r="D64" i="2"/>
  <c r="C64" i="2"/>
  <c r="B64" i="2"/>
  <c r="N64" i="2" s="1"/>
  <c r="A64" i="2"/>
  <c r="K63" i="2"/>
  <c r="J63" i="2"/>
  <c r="I63" i="2"/>
  <c r="H63" i="2"/>
  <c r="G63" i="2"/>
  <c r="L63" i="2" s="1"/>
  <c r="F63" i="2"/>
  <c r="O63" i="2" s="1"/>
  <c r="E63" i="2"/>
  <c r="D63" i="2"/>
  <c r="C63" i="2"/>
  <c r="P63" i="2" s="1"/>
  <c r="B63" i="2"/>
  <c r="N63" i="2" s="1"/>
  <c r="A63" i="2"/>
  <c r="P62" i="2"/>
  <c r="L62" i="2"/>
  <c r="K62" i="2"/>
  <c r="J62" i="2"/>
  <c r="I62" i="2"/>
  <c r="H62" i="2"/>
  <c r="G62" i="2"/>
  <c r="F62" i="2"/>
  <c r="O62" i="2" s="1"/>
  <c r="E62" i="2"/>
  <c r="D62" i="2"/>
  <c r="C62" i="2"/>
  <c r="B62" i="2"/>
  <c r="N62" i="2" s="1"/>
  <c r="A62" i="2"/>
  <c r="L61" i="2"/>
  <c r="K61" i="2"/>
  <c r="J61" i="2"/>
  <c r="P61" i="2" s="1"/>
  <c r="I61" i="2"/>
  <c r="H61" i="2"/>
  <c r="G61" i="2"/>
  <c r="F61" i="2"/>
  <c r="O61" i="2" s="1"/>
  <c r="E61" i="2"/>
  <c r="D61" i="2"/>
  <c r="C61" i="2"/>
  <c r="B61" i="2"/>
  <c r="N61" i="2" s="1"/>
  <c r="A61" i="2"/>
  <c r="P60" i="2"/>
  <c r="L60" i="2"/>
  <c r="K60" i="2"/>
  <c r="J60" i="2"/>
  <c r="I60" i="2"/>
  <c r="H60" i="2"/>
  <c r="G60" i="2"/>
  <c r="F60" i="2"/>
  <c r="O60" i="2" s="1"/>
  <c r="E60" i="2"/>
  <c r="D60" i="2"/>
  <c r="C60" i="2"/>
  <c r="B60" i="2"/>
  <c r="N60" i="2" s="1"/>
  <c r="A60" i="2"/>
  <c r="L59" i="2"/>
  <c r="K59" i="2"/>
  <c r="J59" i="2"/>
  <c r="P59" i="2" s="1"/>
  <c r="I59" i="2"/>
  <c r="H59" i="2"/>
  <c r="G59" i="2"/>
  <c r="F59" i="2"/>
  <c r="O59" i="2" s="1"/>
  <c r="E59" i="2"/>
  <c r="D59" i="2"/>
  <c r="C59" i="2"/>
  <c r="B59" i="2"/>
  <c r="N59" i="2" s="1"/>
  <c r="A59" i="2"/>
  <c r="P58" i="2"/>
  <c r="L58" i="2"/>
  <c r="K58" i="2"/>
  <c r="J58" i="2"/>
  <c r="I58" i="2"/>
  <c r="H58" i="2"/>
  <c r="G58" i="2"/>
  <c r="F58" i="2"/>
  <c r="O58" i="2" s="1"/>
  <c r="E58" i="2"/>
  <c r="D58" i="2"/>
  <c r="C58" i="2"/>
  <c r="B58" i="2"/>
  <c r="N58" i="2" s="1"/>
  <c r="A58" i="2"/>
  <c r="L57" i="2"/>
  <c r="K57" i="2"/>
  <c r="J57" i="2"/>
  <c r="P57" i="2" s="1"/>
  <c r="I57" i="2"/>
  <c r="H57" i="2"/>
  <c r="G57" i="2"/>
  <c r="F57" i="2"/>
  <c r="O57" i="2" s="1"/>
  <c r="E57" i="2"/>
  <c r="D57" i="2"/>
  <c r="C57" i="2"/>
  <c r="B57" i="2"/>
  <c r="N57" i="2" s="1"/>
  <c r="A57" i="2"/>
  <c r="P56" i="2"/>
  <c r="L56" i="2"/>
  <c r="K56" i="2"/>
  <c r="J56" i="2"/>
  <c r="I56" i="2"/>
  <c r="H56" i="2"/>
  <c r="G56" i="2"/>
  <c r="F56" i="2"/>
  <c r="O56" i="2" s="1"/>
  <c r="E56" i="2"/>
  <c r="D56" i="2"/>
  <c r="C56" i="2"/>
  <c r="B56" i="2"/>
  <c r="N56" i="2" s="1"/>
  <c r="A56" i="2"/>
  <c r="L55" i="2"/>
  <c r="K55" i="2"/>
  <c r="J55" i="2"/>
  <c r="P55" i="2" s="1"/>
  <c r="I55" i="2"/>
  <c r="H55" i="2"/>
  <c r="G55" i="2"/>
  <c r="F55" i="2"/>
  <c r="O55" i="2" s="1"/>
  <c r="E55" i="2"/>
  <c r="D55" i="2"/>
  <c r="C55" i="2"/>
  <c r="B55" i="2"/>
  <c r="N55" i="2" s="1"/>
  <c r="A55" i="2"/>
  <c r="P54" i="2"/>
  <c r="L54" i="2"/>
  <c r="K54" i="2"/>
  <c r="J54" i="2"/>
  <c r="I54" i="2"/>
  <c r="H54" i="2"/>
  <c r="G54" i="2"/>
  <c r="F54" i="2"/>
  <c r="O54" i="2" s="1"/>
  <c r="E54" i="2"/>
  <c r="D54" i="2"/>
  <c r="C54" i="2"/>
  <c r="B54" i="2"/>
  <c r="N54" i="2" s="1"/>
  <c r="A54" i="2"/>
  <c r="L53" i="2"/>
  <c r="K53" i="2"/>
  <c r="J53" i="2"/>
  <c r="P53" i="2" s="1"/>
  <c r="I53" i="2"/>
  <c r="H53" i="2"/>
  <c r="G53" i="2"/>
  <c r="F53" i="2"/>
  <c r="O53" i="2" s="1"/>
  <c r="E53" i="2"/>
  <c r="D53" i="2"/>
  <c r="C53" i="2"/>
  <c r="B53" i="2"/>
  <c r="N53" i="2" s="1"/>
  <c r="A53" i="2"/>
  <c r="P52" i="2"/>
  <c r="L52" i="2"/>
  <c r="K52" i="2"/>
  <c r="J52" i="2"/>
  <c r="I52" i="2"/>
  <c r="H52" i="2"/>
  <c r="G52" i="2"/>
  <c r="F52" i="2"/>
  <c r="O52" i="2" s="1"/>
  <c r="E52" i="2"/>
  <c r="D52" i="2"/>
  <c r="C52" i="2"/>
  <c r="B52" i="2"/>
  <c r="N52" i="2" s="1"/>
  <c r="A52" i="2"/>
  <c r="L51" i="2"/>
  <c r="K51" i="2"/>
  <c r="J51" i="2"/>
  <c r="P51" i="2" s="1"/>
  <c r="I51" i="2"/>
  <c r="H51" i="2"/>
  <c r="G51" i="2"/>
  <c r="F51" i="2"/>
  <c r="O51" i="2" s="1"/>
  <c r="E51" i="2"/>
  <c r="D51" i="2"/>
  <c r="C51" i="2"/>
  <c r="B51" i="2"/>
  <c r="N51" i="2" s="1"/>
  <c r="A51" i="2"/>
  <c r="P50" i="2"/>
  <c r="L50" i="2"/>
  <c r="K50" i="2"/>
  <c r="J50" i="2"/>
  <c r="I50" i="2"/>
  <c r="H50" i="2"/>
  <c r="G50" i="2"/>
  <c r="F50" i="2"/>
  <c r="O50" i="2" s="1"/>
  <c r="E50" i="2"/>
  <c r="D50" i="2"/>
  <c r="C50" i="2"/>
  <c r="B50" i="2"/>
  <c r="N50" i="2" s="1"/>
  <c r="A50" i="2"/>
  <c r="L49" i="2"/>
  <c r="K49" i="2"/>
  <c r="J49" i="2"/>
  <c r="P49" i="2" s="1"/>
  <c r="I49" i="2"/>
  <c r="H49" i="2"/>
  <c r="G49" i="2"/>
  <c r="F49" i="2"/>
  <c r="O49" i="2" s="1"/>
  <c r="E49" i="2"/>
  <c r="D49" i="2"/>
  <c r="C49" i="2"/>
  <c r="B49" i="2"/>
  <c r="N49" i="2" s="1"/>
  <c r="A49" i="2"/>
  <c r="P48" i="2"/>
  <c r="L48" i="2"/>
  <c r="K48" i="2"/>
  <c r="J48" i="2"/>
  <c r="I48" i="2"/>
  <c r="H48" i="2"/>
  <c r="G48" i="2"/>
  <c r="F48" i="2"/>
  <c r="O48" i="2" s="1"/>
  <c r="E48" i="2"/>
  <c r="D48" i="2"/>
  <c r="C48" i="2"/>
  <c r="B48" i="2"/>
  <c r="N48" i="2" s="1"/>
  <c r="A48" i="2"/>
  <c r="L47" i="2"/>
  <c r="K47" i="2"/>
  <c r="J47" i="2"/>
  <c r="P47" i="2" s="1"/>
  <c r="I47" i="2"/>
  <c r="H47" i="2"/>
  <c r="G47" i="2"/>
  <c r="F47" i="2"/>
  <c r="O47" i="2" s="1"/>
  <c r="E47" i="2"/>
  <c r="D47" i="2"/>
  <c r="C47" i="2"/>
  <c r="B47" i="2"/>
  <c r="A47" i="2"/>
  <c r="P46" i="2"/>
  <c r="L46" i="2"/>
  <c r="K46" i="2"/>
  <c r="J46" i="2"/>
  <c r="I46" i="2"/>
  <c r="H46" i="2"/>
  <c r="G46" i="2"/>
  <c r="F46" i="2"/>
  <c r="O46" i="2" s="1"/>
  <c r="E46" i="2"/>
  <c r="D46" i="2"/>
  <c r="C46" i="2"/>
  <c r="B46" i="2"/>
  <c r="N46" i="2" s="1"/>
  <c r="A46" i="2"/>
  <c r="L45" i="2"/>
  <c r="K45" i="2"/>
  <c r="J45" i="2"/>
  <c r="P45" i="2" s="1"/>
  <c r="I45" i="2"/>
  <c r="H45" i="2"/>
  <c r="G45" i="2"/>
  <c r="F45" i="2"/>
  <c r="O45" i="2" s="1"/>
  <c r="E45" i="2"/>
  <c r="D45" i="2"/>
  <c r="C45" i="2"/>
  <c r="B45" i="2"/>
  <c r="N45" i="2" s="1"/>
  <c r="A45" i="2"/>
  <c r="P44" i="2"/>
  <c r="L44" i="2"/>
  <c r="K44" i="2"/>
  <c r="J44" i="2"/>
  <c r="I44" i="2"/>
  <c r="H44" i="2"/>
  <c r="G44" i="2"/>
  <c r="F44" i="2"/>
  <c r="O44" i="2" s="1"/>
  <c r="E44" i="2"/>
  <c r="D44" i="2"/>
  <c r="C44" i="2"/>
  <c r="B44" i="2"/>
  <c r="A44" i="2"/>
  <c r="L43" i="2"/>
  <c r="K43" i="2"/>
  <c r="J43" i="2"/>
  <c r="P43" i="2" s="1"/>
  <c r="I43" i="2"/>
  <c r="H43" i="2"/>
  <c r="G43" i="2"/>
  <c r="F43" i="2"/>
  <c r="O43" i="2" s="1"/>
  <c r="E43" i="2"/>
  <c r="D43" i="2"/>
  <c r="C43" i="2"/>
  <c r="B43" i="2"/>
  <c r="N43" i="2" s="1"/>
  <c r="A43" i="2"/>
  <c r="N42" i="2"/>
  <c r="L42" i="2"/>
  <c r="K42" i="2"/>
  <c r="J42" i="2"/>
  <c r="P42" i="2" s="1"/>
  <c r="I42" i="2"/>
  <c r="H42" i="2"/>
  <c r="G42" i="2"/>
  <c r="F42" i="2"/>
  <c r="O42" i="2" s="1"/>
  <c r="E42" i="2"/>
  <c r="D42" i="2"/>
  <c r="C42" i="2"/>
  <c r="B42" i="2"/>
  <c r="A42" i="2"/>
  <c r="L41" i="2"/>
  <c r="K41" i="2"/>
  <c r="J41" i="2"/>
  <c r="P41" i="2" s="1"/>
  <c r="I41" i="2"/>
  <c r="H41" i="2"/>
  <c r="G41" i="2"/>
  <c r="F41" i="2"/>
  <c r="O41" i="2" s="1"/>
  <c r="E41" i="2"/>
  <c r="D41" i="2"/>
  <c r="C41" i="2"/>
  <c r="B41" i="2"/>
  <c r="N41" i="2" s="1"/>
  <c r="A41" i="2"/>
  <c r="L40" i="2"/>
  <c r="K40" i="2"/>
  <c r="J40" i="2"/>
  <c r="P40" i="2" s="1"/>
  <c r="I40" i="2"/>
  <c r="H40" i="2"/>
  <c r="G40" i="2"/>
  <c r="F40" i="2"/>
  <c r="O40" i="2" s="1"/>
  <c r="E40" i="2"/>
  <c r="D40" i="2"/>
  <c r="C40" i="2"/>
  <c r="B40" i="2"/>
  <c r="A40" i="2"/>
  <c r="L39" i="2"/>
  <c r="K39" i="2"/>
  <c r="J39" i="2"/>
  <c r="P39" i="2" s="1"/>
  <c r="I39" i="2"/>
  <c r="H39" i="2"/>
  <c r="G39" i="2"/>
  <c r="F39" i="2"/>
  <c r="O39" i="2" s="1"/>
  <c r="E39" i="2"/>
  <c r="D39" i="2"/>
  <c r="C39" i="2"/>
  <c r="B39" i="2"/>
  <c r="N39" i="2" s="1"/>
  <c r="A39" i="2"/>
  <c r="N38" i="2"/>
  <c r="L38" i="2"/>
  <c r="K38" i="2"/>
  <c r="J38" i="2"/>
  <c r="P38" i="2" s="1"/>
  <c r="I38" i="2"/>
  <c r="H38" i="2"/>
  <c r="G38" i="2"/>
  <c r="F38" i="2"/>
  <c r="O38" i="2" s="1"/>
  <c r="E38" i="2"/>
  <c r="D38" i="2"/>
  <c r="C38" i="2"/>
  <c r="B38" i="2"/>
  <c r="A38" i="2"/>
  <c r="L37" i="2"/>
  <c r="K37" i="2"/>
  <c r="J37" i="2"/>
  <c r="P37" i="2" s="1"/>
  <c r="I37" i="2"/>
  <c r="H37" i="2"/>
  <c r="G37" i="2"/>
  <c r="F37" i="2"/>
  <c r="O37" i="2" s="1"/>
  <c r="E37" i="2"/>
  <c r="D37" i="2"/>
  <c r="C37" i="2"/>
  <c r="B37" i="2"/>
  <c r="N37" i="2" s="1"/>
  <c r="A37" i="2"/>
  <c r="L36" i="2"/>
  <c r="K36" i="2"/>
  <c r="J36" i="2"/>
  <c r="P36" i="2" s="1"/>
  <c r="I36" i="2"/>
  <c r="H36" i="2"/>
  <c r="G36" i="2"/>
  <c r="F36" i="2"/>
  <c r="O36" i="2" s="1"/>
  <c r="E36" i="2"/>
  <c r="D36" i="2"/>
  <c r="C36" i="2"/>
  <c r="B36" i="2"/>
  <c r="A36" i="2"/>
  <c r="L35" i="2"/>
  <c r="K35" i="2"/>
  <c r="J35" i="2"/>
  <c r="P35" i="2" s="1"/>
  <c r="I35" i="2"/>
  <c r="H35" i="2"/>
  <c r="G35" i="2"/>
  <c r="F35" i="2"/>
  <c r="O35" i="2" s="1"/>
  <c r="E35" i="2"/>
  <c r="D35" i="2"/>
  <c r="C35" i="2"/>
  <c r="B35" i="2"/>
  <c r="N35" i="2" s="1"/>
  <c r="A35" i="2"/>
  <c r="N34" i="2"/>
  <c r="L34" i="2"/>
  <c r="K34" i="2"/>
  <c r="J34" i="2"/>
  <c r="P34" i="2" s="1"/>
  <c r="I34" i="2"/>
  <c r="H34" i="2"/>
  <c r="G34" i="2"/>
  <c r="F34" i="2"/>
  <c r="O34" i="2" s="1"/>
  <c r="E34" i="2"/>
  <c r="D34" i="2"/>
  <c r="C34" i="2"/>
  <c r="B34" i="2"/>
  <c r="A34" i="2"/>
  <c r="L33" i="2"/>
  <c r="K33" i="2"/>
  <c r="J33" i="2"/>
  <c r="P33" i="2" s="1"/>
  <c r="I33" i="2"/>
  <c r="H33" i="2"/>
  <c r="G33" i="2"/>
  <c r="F33" i="2"/>
  <c r="O33" i="2" s="1"/>
  <c r="E33" i="2"/>
  <c r="D33" i="2"/>
  <c r="C33" i="2"/>
  <c r="B33" i="2"/>
  <c r="N33" i="2" s="1"/>
  <c r="A33" i="2"/>
  <c r="L32" i="2"/>
  <c r="K32" i="2"/>
  <c r="J32" i="2"/>
  <c r="P32" i="2" s="1"/>
  <c r="I32" i="2"/>
  <c r="H32" i="2"/>
  <c r="G32" i="2"/>
  <c r="F32" i="2"/>
  <c r="O32" i="2" s="1"/>
  <c r="E32" i="2"/>
  <c r="D32" i="2"/>
  <c r="C32" i="2"/>
  <c r="B32" i="2"/>
  <c r="A32" i="2"/>
  <c r="L31" i="2"/>
  <c r="K31" i="2"/>
  <c r="J31" i="2"/>
  <c r="P31" i="2" s="1"/>
  <c r="I31" i="2"/>
  <c r="H31" i="2"/>
  <c r="G31" i="2"/>
  <c r="F31" i="2"/>
  <c r="O31" i="2" s="1"/>
  <c r="E31" i="2"/>
  <c r="D31" i="2"/>
  <c r="C31" i="2"/>
  <c r="B31" i="2"/>
  <c r="N31" i="2" s="1"/>
  <c r="A31" i="2"/>
  <c r="N30" i="2"/>
  <c r="L30" i="2"/>
  <c r="K30" i="2"/>
  <c r="J30" i="2"/>
  <c r="P30" i="2" s="1"/>
  <c r="I30" i="2"/>
  <c r="H30" i="2"/>
  <c r="G30" i="2"/>
  <c r="F30" i="2"/>
  <c r="O30" i="2" s="1"/>
  <c r="E30" i="2"/>
  <c r="D30" i="2"/>
  <c r="C30" i="2"/>
  <c r="B30" i="2"/>
  <c r="A30" i="2"/>
  <c r="N29" i="2"/>
  <c r="L29" i="2"/>
  <c r="K29" i="2"/>
  <c r="J29" i="2"/>
  <c r="I29" i="2"/>
  <c r="H29" i="2"/>
  <c r="G29" i="2"/>
  <c r="F29" i="2"/>
  <c r="O29" i="2" s="1"/>
  <c r="E29" i="2"/>
  <c r="D29" i="2"/>
  <c r="C29" i="2"/>
  <c r="P29" i="2" s="1"/>
  <c r="B29" i="2"/>
  <c r="A29" i="2"/>
  <c r="M28" i="2"/>
  <c r="L28" i="2"/>
  <c r="K28" i="2"/>
  <c r="J28" i="2"/>
  <c r="P28" i="2" s="1"/>
  <c r="I28" i="2"/>
  <c r="H28" i="2"/>
  <c r="G28" i="2"/>
  <c r="F28" i="2"/>
  <c r="O28" i="2" s="1"/>
  <c r="E28" i="2"/>
  <c r="Q28" i="2" s="1"/>
  <c r="R28" i="2" s="1"/>
  <c r="D28" i="2"/>
  <c r="C28" i="2"/>
  <c r="B28" i="2"/>
  <c r="N28" i="2" s="1"/>
  <c r="A28" i="2"/>
  <c r="N27" i="2"/>
  <c r="L27" i="2"/>
  <c r="K27" i="2"/>
  <c r="J27" i="2"/>
  <c r="I27" i="2"/>
  <c r="H27" i="2"/>
  <c r="G27" i="2"/>
  <c r="F27" i="2"/>
  <c r="O27" i="2" s="1"/>
  <c r="E27" i="2"/>
  <c r="D27" i="2"/>
  <c r="C27" i="2"/>
  <c r="P27" i="2" s="1"/>
  <c r="B27" i="2"/>
  <c r="A27" i="2"/>
  <c r="L26" i="2"/>
  <c r="K26" i="2"/>
  <c r="J26" i="2"/>
  <c r="P26" i="2" s="1"/>
  <c r="I26" i="2"/>
  <c r="H26" i="2"/>
  <c r="G26" i="2"/>
  <c r="F26" i="2"/>
  <c r="O26" i="2" s="1"/>
  <c r="E26" i="2"/>
  <c r="D26" i="2"/>
  <c r="C26" i="2"/>
  <c r="B26" i="2"/>
  <c r="Q26" i="2" s="1"/>
  <c r="R26" i="2" s="1"/>
  <c r="A26" i="2"/>
  <c r="K25" i="2"/>
  <c r="J25" i="2"/>
  <c r="I25" i="2"/>
  <c r="H25" i="2"/>
  <c r="G25" i="2"/>
  <c r="L25" i="2" s="1"/>
  <c r="F25" i="2"/>
  <c r="O25" i="2" s="1"/>
  <c r="E25" i="2"/>
  <c r="D25" i="2"/>
  <c r="C25" i="2"/>
  <c r="P25" i="2" s="1"/>
  <c r="B25" i="2"/>
  <c r="N25" i="2" s="1"/>
  <c r="A25" i="2"/>
  <c r="P24" i="2"/>
  <c r="L24" i="2"/>
  <c r="K24" i="2"/>
  <c r="J24" i="2"/>
  <c r="I24" i="2"/>
  <c r="H24" i="2"/>
  <c r="G24" i="2"/>
  <c r="F24" i="2"/>
  <c r="O24" i="2" s="1"/>
  <c r="E24" i="2"/>
  <c r="D24" i="2"/>
  <c r="C24" i="2"/>
  <c r="B24" i="2"/>
  <c r="M24" i="2" s="1"/>
  <c r="A24" i="2"/>
  <c r="K23" i="2"/>
  <c r="J23" i="2"/>
  <c r="I23" i="2"/>
  <c r="H23" i="2"/>
  <c r="G23" i="2"/>
  <c r="L23" i="2" s="1"/>
  <c r="F23" i="2"/>
  <c r="O23" i="2" s="1"/>
  <c r="E23" i="2"/>
  <c r="D23" i="2"/>
  <c r="C23" i="2"/>
  <c r="P23" i="2" s="1"/>
  <c r="B23" i="2"/>
  <c r="A23" i="2"/>
  <c r="P22" i="2"/>
  <c r="M22" i="2"/>
  <c r="L22" i="2"/>
  <c r="K22" i="2"/>
  <c r="J22" i="2"/>
  <c r="I22" i="2"/>
  <c r="H22" i="2"/>
  <c r="G22" i="2"/>
  <c r="F22" i="2"/>
  <c r="O22" i="2" s="1"/>
  <c r="E22" i="2"/>
  <c r="Q22" i="2" s="1"/>
  <c r="R22" i="2" s="1"/>
  <c r="D22" i="2"/>
  <c r="C22" i="2"/>
  <c r="B22" i="2"/>
  <c r="N22" i="2" s="1"/>
  <c r="A22" i="2"/>
  <c r="K21" i="2"/>
  <c r="J21" i="2"/>
  <c r="I21" i="2"/>
  <c r="H21" i="2"/>
  <c r="G21" i="2"/>
  <c r="L21" i="2" s="1"/>
  <c r="F21" i="2"/>
  <c r="O21" i="2" s="1"/>
  <c r="E21" i="2"/>
  <c r="D21" i="2"/>
  <c r="C21" i="2"/>
  <c r="P21" i="2" s="1"/>
  <c r="B21" i="2"/>
  <c r="Q21" i="2" s="1"/>
  <c r="R21" i="2" s="1"/>
  <c r="A21" i="2"/>
  <c r="P20" i="2"/>
  <c r="M20" i="2"/>
  <c r="L20" i="2"/>
  <c r="K20" i="2"/>
  <c r="J20" i="2"/>
  <c r="I20" i="2"/>
  <c r="H20" i="2"/>
  <c r="G20" i="2"/>
  <c r="F20" i="2"/>
  <c r="O20" i="2" s="1"/>
  <c r="E20" i="2"/>
  <c r="Q20" i="2" s="1"/>
  <c r="R20" i="2" s="1"/>
  <c r="D20" i="2"/>
  <c r="C20" i="2"/>
  <c r="B20" i="2"/>
  <c r="N20" i="2" s="1"/>
  <c r="A20" i="2"/>
  <c r="K19" i="2"/>
  <c r="J19" i="2"/>
  <c r="I19" i="2"/>
  <c r="H19" i="2"/>
  <c r="G19" i="2"/>
  <c r="L19" i="2" s="1"/>
  <c r="F19" i="2"/>
  <c r="O19" i="2" s="1"/>
  <c r="E19" i="2"/>
  <c r="D19" i="2"/>
  <c r="C19" i="2"/>
  <c r="P19" i="2" s="1"/>
  <c r="B19" i="2"/>
  <c r="Q19" i="2" s="1"/>
  <c r="R19" i="2" s="1"/>
  <c r="A19" i="2"/>
  <c r="P18" i="2"/>
  <c r="L18" i="2"/>
  <c r="K18" i="2"/>
  <c r="J18" i="2"/>
  <c r="I18" i="2"/>
  <c r="H18" i="2"/>
  <c r="G18" i="2"/>
  <c r="F18" i="2"/>
  <c r="O18" i="2" s="1"/>
  <c r="E18" i="2"/>
  <c r="D18" i="2"/>
  <c r="C18" i="2"/>
  <c r="B18" i="2"/>
  <c r="N18" i="2" s="1"/>
  <c r="A18" i="2"/>
  <c r="K17" i="2"/>
  <c r="J17" i="2"/>
  <c r="I17" i="2"/>
  <c r="H17" i="2"/>
  <c r="G17" i="2"/>
  <c r="L17" i="2" s="1"/>
  <c r="F17" i="2"/>
  <c r="O17" i="2" s="1"/>
  <c r="E17" i="2"/>
  <c r="D17" i="2"/>
  <c r="C17" i="2"/>
  <c r="P17" i="2" s="1"/>
  <c r="B17" i="2"/>
  <c r="Q17" i="2" s="1"/>
  <c r="R17" i="2" s="1"/>
  <c r="A17" i="2"/>
  <c r="M16" i="2"/>
  <c r="K16" i="2"/>
  <c r="J16" i="2"/>
  <c r="I16" i="2"/>
  <c r="H16" i="2"/>
  <c r="G16" i="2"/>
  <c r="L16" i="2" s="1"/>
  <c r="F16" i="2"/>
  <c r="O16" i="2" s="1"/>
  <c r="E16" i="2"/>
  <c r="Q16" i="2" s="1"/>
  <c r="R16" i="2" s="1"/>
  <c r="D16" i="2"/>
  <c r="C16" i="2"/>
  <c r="P16" i="2" s="1"/>
  <c r="B16" i="2"/>
  <c r="N16" i="2" s="1"/>
  <c r="A16" i="2"/>
  <c r="M15" i="2"/>
  <c r="K15" i="2"/>
  <c r="J15" i="2"/>
  <c r="I15" i="2"/>
  <c r="H15" i="2"/>
  <c r="G15" i="2"/>
  <c r="L15" i="2" s="1"/>
  <c r="F15" i="2"/>
  <c r="O15" i="2" s="1"/>
  <c r="E15" i="2"/>
  <c r="Q15" i="2" s="1"/>
  <c r="R15" i="2" s="1"/>
  <c r="D15" i="2"/>
  <c r="C15" i="2"/>
  <c r="P15" i="2" s="1"/>
  <c r="B15" i="2"/>
  <c r="N15" i="2" s="1"/>
  <c r="A15" i="2"/>
  <c r="O14" i="2"/>
  <c r="M14" i="2"/>
  <c r="K14" i="2"/>
  <c r="J14" i="2"/>
  <c r="I14" i="2"/>
  <c r="H14" i="2"/>
  <c r="G14" i="2"/>
  <c r="L14" i="2" s="1"/>
  <c r="F14" i="2"/>
  <c r="E14" i="2"/>
  <c r="Q14" i="2" s="1"/>
  <c r="R14" i="2" s="1"/>
  <c r="D14" i="2"/>
  <c r="C14" i="2"/>
  <c r="P14" i="2" s="1"/>
  <c r="B14" i="2"/>
  <c r="N14" i="2" s="1"/>
  <c r="A14" i="2"/>
  <c r="M13" i="2"/>
  <c r="K13" i="2"/>
  <c r="J13" i="2"/>
  <c r="I13" i="2"/>
  <c r="H13" i="2"/>
  <c r="G13" i="2"/>
  <c r="L13" i="2" s="1"/>
  <c r="F13" i="2"/>
  <c r="O13" i="2" s="1"/>
  <c r="E13" i="2"/>
  <c r="Q13" i="2" s="1"/>
  <c r="R13" i="2" s="1"/>
  <c r="D13" i="2"/>
  <c r="C13" i="2"/>
  <c r="P13" i="2" s="1"/>
  <c r="B13" i="2"/>
  <c r="N13" i="2" s="1"/>
  <c r="A13" i="2"/>
  <c r="O12" i="2"/>
  <c r="M12" i="2"/>
  <c r="K12" i="2"/>
  <c r="J12" i="2"/>
  <c r="I12" i="2"/>
  <c r="H12" i="2"/>
  <c r="G12" i="2"/>
  <c r="L12" i="2" s="1"/>
  <c r="F12" i="2"/>
  <c r="E12" i="2"/>
  <c r="Q12" i="2" s="1"/>
  <c r="R12" i="2" s="1"/>
  <c r="D12" i="2"/>
  <c r="C12" i="2"/>
  <c r="P12" i="2" s="1"/>
  <c r="B12" i="2"/>
  <c r="N12" i="2" s="1"/>
  <c r="A12" i="2"/>
  <c r="M11" i="2"/>
  <c r="K11" i="2"/>
  <c r="J11" i="2"/>
  <c r="I11" i="2"/>
  <c r="H11" i="2"/>
  <c r="G11" i="2"/>
  <c r="L11" i="2" s="1"/>
  <c r="F11" i="2"/>
  <c r="O11" i="2" s="1"/>
  <c r="E11" i="2"/>
  <c r="Q11" i="2" s="1"/>
  <c r="R11" i="2" s="1"/>
  <c r="D11" i="2"/>
  <c r="C11" i="2"/>
  <c r="P11" i="2" s="1"/>
  <c r="B11" i="2"/>
  <c r="N11" i="2" s="1"/>
  <c r="A11" i="2"/>
  <c r="O10" i="2"/>
  <c r="M10" i="2"/>
  <c r="K10" i="2"/>
  <c r="J10" i="2"/>
  <c r="I10" i="2"/>
  <c r="H10" i="2"/>
  <c r="G10" i="2"/>
  <c r="L10" i="2" s="1"/>
  <c r="F10" i="2"/>
  <c r="E10" i="2"/>
  <c r="Q10" i="2" s="1"/>
  <c r="R10" i="2" s="1"/>
  <c r="D10" i="2"/>
  <c r="C10" i="2"/>
  <c r="P10" i="2" s="1"/>
  <c r="B10" i="2"/>
  <c r="N10" i="2" s="1"/>
  <c r="A10" i="2"/>
  <c r="M9" i="2"/>
  <c r="K9" i="2"/>
  <c r="J9" i="2"/>
  <c r="I9" i="2"/>
  <c r="H9" i="2"/>
  <c r="G9" i="2"/>
  <c r="L9" i="2" s="1"/>
  <c r="F9" i="2"/>
  <c r="O9" i="2" s="1"/>
  <c r="E9" i="2"/>
  <c r="Q9" i="2" s="1"/>
  <c r="R9" i="2" s="1"/>
  <c r="D9" i="2"/>
  <c r="C9" i="2"/>
  <c r="P9" i="2" s="1"/>
  <c r="B9" i="2"/>
  <c r="N9" i="2" s="1"/>
  <c r="A9" i="2"/>
  <c r="O8" i="2"/>
  <c r="K8" i="2"/>
  <c r="J8" i="2"/>
  <c r="I8" i="2"/>
  <c r="H8" i="2"/>
  <c r="G8" i="2"/>
  <c r="L8" i="2" s="1"/>
  <c r="F8" i="2"/>
  <c r="E8" i="2"/>
  <c r="D8" i="2"/>
  <c r="C8" i="2"/>
  <c r="P8" i="2" s="1"/>
  <c r="B8" i="2"/>
  <c r="N8" i="2" s="1"/>
  <c r="A8" i="2"/>
  <c r="K7" i="2"/>
  <c r="J7" i="2"/>
  <c r="I7" i="2"/>
  <c r="H7" i="2"/>
  <c r="G7" i="2"/>
  <c r="L7" i="2" s="1"/>
  <c r="F7" i="2"/>
  <c r="O7" i="2" s="1"/>
  <c r="E7" i="2"/>
  <c r="D7" i="2"/>
  <c r="C7" i="2"/>
  <c r="P7" i="2" s="1"/>
  <c r="B7" i="2"/>
  <c r="Q7" i="2" s="1"/>
  <c r="R7" i="2" s="1"/>
  <c r="A7" i="2"/>
  <c r="O6" i="2"/>
  <c r="K6" i="2"/>
  <c r="J6" i="2"/>
  <c r="I6" i="2"/>
  <c r="H6" i="2"/>
  <c r="G6" i="2"/>
  <c r="L6" i="2" s="1"/>
  <c r="F6" i="2"/>
  <c r="E6" i="2"/>
  <c r="D6" i="2"/>
  <c r="C6" i="2"/>
  <c r="P6" i="2" s="1"/>
  <c r="B6" i="2"/>
  <c r="N6" i="2" s="1"/>
  <c r="A6" i="2"/>
  <c r="M5" i="2"/>
  <c r="L5" i="2"/>
  <c r="K5" i="2"/>
  <c r="J5" i="2"/>
  <c r="I5" i="2"/>
  <c r="H5" i="2"/>
  <c r="G5" i="2"/>
  <c r="F5" i="2"/>
  <c r="O5" i="2" s="1"/>
  <c r="E5" i="2"/>
  <c r="Q5" i="2" s="1"/>
  <c r="R5" i="2" s="1"/>
  <c r="D5" i="2"/>
  <c r="C5" i="2"/>
  <c r="P5" i="2" s="1"/>
  <c r="B5" i="2"/>
  <c r="N5" i="2" s="1"/>
  <c r="A5" i="2"/>
  <c r="O4" i="2"/>
  <c r="K4" i="2"/>
  <c r="J4" i="2"/>
  <c r="I4" i="2"/>
  <c r="H4" i="2"/>
  <c r="G4" i="2"/>
  <c r="L4" i="2" s="1"/>
  <c r="F4" i="2"/>
  <c r="E4" i="2"/>
  <c r="D4" i="2"/>
  <c r="C4" i="2"/>
  <c r="P4" i="2" s="1"/>
  <c r="B4" i="2"/>
  <c r="N4" i="2" s="1"/>
  <c r="A4" i="2"/>
  <c r="P3" i="2"/>
  <c r="M3" i="2"/>
  <c r="L3" i="2"/>
  <c r="K3" i="2"/>
  <c r="J3" i="2"/>
  <c r="I3" i="2"/>
  <c r="H3" i="2"/>
  <c r="G3" i="2"/>
  <c r="F3" i="2"/>
  <c r="O3" i="2" s="1"/>
  <c r="E3" i="2"/>
  <c r="Q3" i="2" s="1"/>
  <c r="R3" i="2" s="1"/>
  <c r="D3" i="2"/>
  <c r="C3" i="2"/>
  <c r="B3" i="2"/>
  <c r="N3" i="2" s="1"/>
  <c r="A3" i="2"/>
  <c r="K2" i="2"/>
  <c r="J2" i="2"/>
  <c r="I2" i="2"/>
  <c r="H2" i="2"/>
  <c r="G2" i="2"/>
  <c r="L2" i="2" s="1"/>
  <c r="F2" i="2"/>
  <c r="O2" i="2" s="1"/>
  <c r="E2" i="2"/>
  <c r="D2" i="2"/>
  <c r="C2" i="2"/>
  <c r="P2" i="2" s="1"/>
  <c r="B2" i="2"/>
  <c r="A2" i="2"/>
  <c r="Q154" i="2" l="1"/>
  <c r="R154" i="2" s="1"/>
  <c r="Q146" i="2"/>
  <c r="R146" i="2" s="1"/>
  <c r="Q138" i="2"/>
  <c r="R138" i="2" s="1"/>
  <c r="Q126" i="2"/>
  <c r="R126" i="2" s="1"/>
  <c r="Q120" i="2"/>
  <c r="R120" i="2" s="1"/>
  <c r="Q162" i="2"/>
  <c r="R162" i="2" s="1"/>
  <c r="Q156" i="2"/>
  <c r="R156" i="2" s="1"/>
  <c r="Q148" i="2"/>
  <c r="R148" i="2" s="1"/>
  <c r="Q140" i="2"/>
  <c r="R140" i="2" s="1"/>
  <c r="Q132" i="2"/>
  <c r="R132" i="2" s="1"/>
  <c r="Q118" i="2"/>
  <c r="R118" i="2" s="1"/>
  <c r="Q77" i="2"/>
  <c r="R77" i="2" s="1"/>
  <c r="N7" i="2"/>
  <c r="N17" i="2"/>
  <c r="N19" i="2"/>
  <c r="N21" i="2"/>
  <c r="Q23" i="2"/>
  <c r="R23" i="2" s="1"/>
  <c r="M23" i="2"/>
  <c r="N24" i="2"/>
  <c r="M26" i="2"/>
  <c r="Q32" i="2"/>
  <c r="R32" i="2" s="1"/>
  <c r="M32" i="2"/>
  <c r="Q36" i="2"/>
  <c r="R36" i="2" s="1"/>
  <c r="M36" i="2"/>
  <c r="Q40" i="2"/>
  <c r="R40" i="2" s="1"/>
  <c r="M40" i="2"/>
  <c r="N44" i="2"/>
  <c r="Q44" i="2"/>
  <c r="R44" i="2" s="1"/>
  <c r="M44" i="2"/>
  <c r="Q47" i="2"/>
  <c r="R47" i="2" s="1"/>
  <c r="M47" i="2"/>
  <c r="Q66" i="2"/>
  <c r="R66" i="2" s="1"/>
  <c r="Q74" i="2"/>
  <c r="R74" i="2" s="1"/>
  <c r="M2" i="2"/>
  <c r="Q2" i="2"/>
  <c r="R2" i="2" s="1"/>
  <c r="M4" i="2"/>
  <c r="Q4" i="2"/>
  <c r="R4" i="2" s="1"/>
  <c r="M6" i="2"/>
  <c r="Q6" i="2"/>
  <c r="R6" i="2" s="1"/>
  <c r="M8" i="2"/>
  <c r="Q8" i="2"/>
  <c r="R8" i="2" s="1"/>
  <c r="M18" i="2"/>
  <c r="Q18" i="2"/>
  <c r="R18" i="2" s="1"/>
  <c r="Q25" i="2"/>
  <c r="R25" i="2" s="1"/>
  <c r="M25" i="2"/>
  <c r="N26" i="2"/>
  <c r="Q31" i="2"/>
  <c r="R31" i="2" s="1"/>
  <c r="M31" i="2"/>
  <c r="Q35" i="2"/>
  <c r="R35" i="2" s="1"/>
  <c r="M35" i="2"/>
  <c r="Q39" i="2"/>
  <c r="R39" i="2" s="1"/>
  <c r="M39" i="2"/>
  <c r="Q43" i="2"/>
  <c r="R43" i="2" s="1"/>
  <c r="M43" i="2"/>
  <c r="Q45" i="2"/>
  <c r="R45" i="2" s="1"/>
  <c r="M45" i="2"/>
  <c r="Q68" i="2"/>
  <c r="R68" i="2" s="1"/>
  <c r="N2" i="2"/>
  <c r="Q24" i="2"/>
  <c r="R24" i="2" s="1"/>
  <c r="Q27" i="2"/>
  <c r="R27" i="2" s="1"/>
  <c r="M27" i="2"/>
  <c r="Q30" i="2"/>
  <c r="R30" i="2" s="1"/>
  <c r="M30" i="2"/>
  <c r="Q34" i="2"/>
  <c r="R34" i="2" s="1"/>
  <c r="M34" i="2"/>
  <c r="Q38" i="2"/>
  <c r="R38" i="2" s="1"/>
  <c r="M38" i="2"/>
  <c r="Q42" i="2"/>
  <c r="R42" i="2" s="1"/>
  <c r="M42" i="2"/>
  <c r="Q70" i="2"/>
  <c r="R70" i="2" s="1"/>
  <c r="M7" i="2"/>
  <c r="M17" i="2"/>
  <c r="M19" i="2"/>
  <c r="M21" i="2"/>
  <c r="N23" i="2"/>
  <c r="Q29" i="2"/>
  <c r="R29" i="2" s="1"/>
  <c r="M29" i="2"/>
  <c r="N32" i="2"/>
  <c r="Q33" i="2"/>
  <c r="R33" i="2" s="1"/>
  <c r="M33" i="2"/>
  <c r="N36" i="2"/>
  <c r="Q37" i="2"/>
  <c r="R37" i="2" s="1"/>
  <c r="M37" i="2"/>
  <c r="N40" i="2"/>
  <c r="Q41" i="2"/>
  <c r="R41" i="2" s="1"/>
  <c r="M41" i="2"/>
  <c r="N47" i="2"/>
  <c r="M46" i="2"/>
  <c r="Q46" i="2"/>
  <c r="R46" i="2" s="1"/>
  <c r="M48" i="2"/>
  <c r="Q48" i="2"/>
  <c r="R48" i="2" s="1"/>
  <c r="M50" i="2"/>
  <c r="Q50" i="2"/>
  <c r="R50" i="2" s="1"/>
  <c r="M52" i="2"/>
  <c r="Q52" i="2"/>
  <c r="R52" i="2" s="1"/>
  <c r="M54" i="2"/>
  <c r="Q54" i="2"/>
  <c r="R54" i="2" s="1"/>
  <c r="M56" i="2"/>
  <c r="Q56" i="2"/>
  <c r="R56" i="2" s="1"/>
  <c r="M58" i="2"/>
  <c r="Q58" i="2"/>
  <c r="R58" i="2" s="1"/>
  <c r="M60" i="2"/>
  <c r="Q60" i="2"/>
  <c r="R60" i="2" s="1"/>
  <c r="M62" i="2"/>
  <c r="Q62" i="2"/>
  <c r="R62" i="2" s="1"/>
  <c r="M64" i="2"/>
  <c r="Q64" i="2"/>
  <c r="R64" i="2" s="1"/>
  <c r="Q80" i="2"/>
  <c r="R80" i="2" s="1"/>
  <c r="M80" i="2"/>
  <c r="N81" i="2"/>
  <c r="Q84" i="2"/>
  <c r="R84" i="2" s="1"/>
  <c r="M84" i="2"/>
  <c r="Q88" i="2"/>
  <c r="R88" i="2" s="1"/>
  <c r="M88" i="2"/>
  <c r="Q92" i="2"/>
  <c r="R92" i="2" s="1"/>
  <c r="M92" i="2"/>
  <c r="Q96" i="2"/>
  <c r="R96" i="2" s="1"/>
  <c r="M96" i="2"/>
  <c r="Q100" i="2"/>
  <c r="R100" i="2" s="1"/>
  <c r="M100" i="2"/>
  <c r="Q108" i="2"/>
  <c r="R108" i="2" s="1"/>
  <c r="Q110" i="2"/>
  <c r="R110" i="2" s="1"/>
  <c r="Q112" i="2"/>
  <c r="R112" i="2" s="1"/>
  <c r="Q116" i="2"/>
  <c r="R116" i="2" s="1"/>
  <c r="Q128" i="2"/>
  <c r="R128" i="2" s="1"/>
  <c r="Q76" i="2"/>
  <c r="R76" i="2" s="1"/>
  <c r="N76" i="2"/>
  <c r="Q79" i="2"/>
  <c r="R79" i="2" s="1"/>
  <c r="Q82" i="2"/>
  <c r="R82" i="2" s="1"/>
  <c r="M82" i="2"/>
  <c r="Q83" i="2"/>
  <c r="R83" i="2" s="1"/>
  <c r="M83" i="2"/>
  <c r="Q87" i="2"/>
  <c r="R87" i="2" s="1"/>
  <c r="M87" i="2"/>
  <c r="Q91" i="2"/>
  <c r="R91" i="2" s="1"/>
  <c r="M91" i="2"/>
  <c r="Q95" i="2"/>
  <c r="R95" i="2" s="1"/>
  <c r="M95" i="2"/>
  <c r="Q99" i="2"/>
  <c r="R99" i="2" s="1"/>
  <c r="M99" i="2"/>
  <c r="Q134" i="2"/>
  <c r="R134" i="2" s="1"/>
  <c r="Q142" i="2"/>
  <c r="R142" i="2" s="1"/>
  <c r="Q150" i="2"/>
  <c r="R150" i="2" s="1"/>
  <c r="Q158" i="2"/>
  <c r="R158" i="2" s="1"/>
  <c r="M49" i="2"/>
  <c r="Q49" i="2"/>
  <c r="R49" i="2" s="1"/>
  <c r="M51" i="2"/>
  <c r="Q51" i="2"/>
  <c r="R51" i="2" s="1"/>
  <c r="M53" i="2"/>
  <c r="Q53" i="2"/>
  <c r="R53" i="2" s="1"/>
  <c r="M55" i="2"/>
  <c r="Q55" i="2"/>
  <c r="R55" i="2" s="1"/>
  <c r="M57" i="2"/>
  <c r="Q57" i="2"/>
  <c r="R57" i="2" s="1"/>
  <c r="M59" i="2"/>
  <c r="Q59" i="2"/>
  <c r="R59" i="2" s="1"/>
  <c r="M61" i="2"/>
  <c r="Q61" i="2"/>
  <c r="R61" i="2" s="1"/>
  <c r="M63" i="2"/>
  <c r="Q63" i="2"/>
  <c r="R63" i="2" s="1"/>
  <c r="M65" i="2"/>
  <c r="Q65" i="2"/>
  <c r="R65" i="2" s="1"/>
  <c r="M67" i="2"/>
  <c r="Q67" i="2"/>
  <c r="R67" i="2" s="1"/>
  <c r="M69" i="2"/>
  <c r="Q69" i="2"/>
  <c r="R69" i="2" s="1"/>
  <c r="M71" i="2"/>
  <c r="Q71" i="2"/>
  <c r="R71" i="2" s="1"/>
  <c r="M73" i="2"/>
  <c r="Q73" i="2"/>
  <c r="R73" i="2" s="1"/>
  <c r="M75" i="2"/>
  <c r="Q75" i="2"/>
  <c r="R75" i="2" s="1"/>
  <c r="M79" i="2"/>
  <c r="Q81" i="2"/>
  <c r="R81" i="2" s="1"/>
  <c r="Q86" i="2"/>
  <c r="R86" i="2" s="1"/>
  <c r="M86" i="2"/>
  <c r="Q90" i="2"/>
  <c r="R90" i="2" s="1"/>
  <c r="M90" i="2"/>
  <c r="Q94" i="2"/>
  <c r="R94" i="2" s="1"/>
  <c r="M94" i="2"/>
  <c r="Q98" i="2"/>
  <c r="R98" i="2" s="1"/>
  <c r="M98" i="2"/>
  <c r="Q104" i="2"/>
  <c r="R104" i="2" s="1"/>
  <c r="Q164" i="2"/>
  <c r="R164" i="2" s="1"/>
  <c r="Q78" i="2"/>
  <c r="R78" i="2" s="1"/>
  <c r="M78" i="2"/>
  <c r="N80" i="2"/>
  <c r="N84" i="2"/>
  <c r="Q85" i="2"/>
  <c r="R85" i="2" s="1"/>
  <c r="M85" i="2"/>
  <c r="N88" i="2"/>
  <c r="Q89" i="2"/>
  <c r="R89" i="2" s="1"/>
  <c r="M89" i="2"/>
  <c r="N92" i="2"/>
  <c r="Q93" i="2"/>
  <c r="R93" i="2" s="1"/>
  <c r="M93" i="2"/>
  <c r="N96" i="2"/>
  <c r="Q97" i="2"/>
  <c r="R97" i="2" s="1"/>
  <c r="M97" i="2"/>
  <c r="N100" i="2"/>
  <c r="Q102" i="2"/>
  <c r="R102" i="2" s="1"/>
  <c r="M102" i="2"/>
  <c r="Q106" i="2"/>
  <c r="R106" i="2" s="1"/>
  <c r="Q136" i="2"/>
  <c r="R136" i="2" s="1"/>
  <c r="Q144" i="2"/>
  <c r="R144" i="2" s="1"/>
  <c r="Q152" i="2"/>
  <c r="R152" i="2" s="1"/>
  <c r="Q160" i="2"/>
  <c r="R160" i="2" s="1"/>
  <c r="N104" i="2"/>
  <c r="N106" i="2"/>
  <c r="N108" i="2"/>
  <c r="N110" i="2"/>
  <c r="N112" i="2"/>
  <c r="N114" i="2"/>
  <c r="Q121" i="2"/>
  <c r="R121" i="2" s="1"/>
  <c r="M121" i="2"/>
  <c r="N122" i="2"/>
  <c r="Q129" i="2"/>
  <c r="R129" i="2" s="1"/>
  <c r="M129" i="2"/>
  <c r="Q137" i="2"/>
  <c r="R137" i="2" s="1"/>
  <c r="Q145" i="2"/>
  <c r="R145" i="2" s="1"/>
  <c r="Q153" i="2"/>
  <c r="R153" i="2" s="1"/>
  <c r="Q161" i="2"/>
  <c r="R161" i="2" s="1"/>
  <c r="M101" i="2"/>
  <c r="Q101" i="2"/>
  <c r="R101" i="2" s="1"/>
  <c r="M103" i="2"/>
  <c r="Q103" i="2"/>
  <c r="R103" i="2" s="1"/>
  <c r="M105" i="2"/>
  <c r="Q105" i="2"/>
  <c r="R105" i="2" s="1"/>
  <c r="M107" i="2"/>
  <c r="Q107" i="2"/>
  <c r="R107" i="2" s="1"/>
  <c r="M109" i="2"/>
  <c r="Q109" i="2"/>
  <c r="R109" i="2" s="1"/>
  <c r="M111" i="2"/>
  <c r="Q111" i="2"/>
  <c r="R111" i="2" s="1"/>
  <c r="M113" i="2"/>
  <c r="Q113" i="2"/>
  <c r="R113" i="2" s="1"/>
  <c r="Q115" i="2"/>
  <c r="R115" i="2" s="1"/>
  <c r="M115" i="2"/>
  <c r="N116" i="2"/>
  <c r="Q123" i="2"/>
  <c r="R123" i="2" s="1"/>
  <c r="M123" i="2"/>
  <c r="N124" i="2"/>
  <c r="P129" i="2"/>
  <c r="Q131" i="2"/>
  <c r="R131" i="2" s="1"/>
  <c r="M131" i="2"/>
  <c r="Q135" i="2"/>
  <c r="R135" i="2" s="1"/>
  <c r="Q143" i="2"/>
  <c r="R143" i="2" s="1"/>
  <c r="Q151" i="2"/>
  <c r="R151" i="2" s="1"/>
  <c r="Q159" i="2"/>
  <c r="R159" i="2" s="1"/>
  <c r="Q114" i="2"/>
  <c r="R114" i="2" s="1"/>
  <c r="Q117" i="2"/>
  <c r="R117" i="2" s="1"/>
  <c r="M117" i="2"/>
  <c r="Q122" i="2"/>
  <c r="R122" i="2" s="1"/>
  <c r="Q125" i="2"/>
  <c r="R125" i="2" s="1"/>
  <c r="M125" i="2"/>
  <c r="N129" i="2"/>
  <c r="P131" i="2"/>
  <c r="Q133" i="2"/>
  <c r="R133" i="2" s="1"/>
  <c r="Q141" i="2"/>
  <c r="R141" i="2" s="1"/>
  <c r="Q149" i="2"/>
  <c r="R149" i="2" s="1"/>
  <c r="Q157" i="2"/>
  <c r="R157" i="2" s="1"/>
  <c r="Q163" i="2"/>
  <c r="R163" i="2" s="1"/>
  <c r="M104" i="2"/>
  <c r="M106" i="2"/>
  <c r="M108" i="2"/>
  <c r="M110" i="2"/>
  <c r="M112" i="2"/>
  <c r="Q119" i="2"/>
  <c r="R119" i="2" s="1"/>
  <c r="M119" i="2"/>
  <c r="N121" i="2"/>
  <c r="P125" i="2"/>
  <c r="Q127" i="2"/>
  <c r="R127" i="2" s="1"/>
  <c r="M127" i="2"/>
  <c r="N131" i="2"/>
  <c r="Q139" i="2"/>
  <c r="R139" i="2" s="1"/>
  <c r="Q147" i="2"/>
  <c r="R147" i="2" s="1"/>
  <c r="Q155" i="2"/>
  <c r="R155" i="2" s="1"/>
  <c r="N133" i="2"/>
  <c r="N135" i="2"/>
  <c r="N137" i="2"/>
  <c r="N139" i="2"/>
  <c r="N141" i="2"/>
  <c r="N143" i="2"/>
  <c r="N145" i="2"/>
  <c r="N147" i="2"/>
  <c r="N149" i="2"/>
  <c r="N151" i="2"/>
  <c r="N153" i="2"/>
  <c r="N155" i="2"/>
  <c r="N157" i="2"/>
  <c r="N159" i="2"/>
  <c r="N161" i="2"/>
  <c r="N163" i="2"/>
  <c r="N165" i="2"/>
  <c r="M166" i="2"/>
  <c r="Q166" i="2"/>
  <c r="R166" i="2" s="1"/>
  <c r="M133" i="2"/>
  <c r="M135" i="2"/>
  <c r="M137" i="2"/>
  <c r="M139" i="2"/>
  <c r="M141" i="2"/>
  <c r="M143" i="2"/>
  <c r="M145" i="2"/>
  <c r="M147" i="2"/>
  <c r="M149" i="2"/>
  <c r="M151" i="2"/>
  <c r="M153" i="2"/>
  <c r="M155" i="2"/>
  <c r="M157" i="2"/>
  <c r="M159" i="2"/>
  <c r="M161" i="2"/>
  <c r="M163" i="2"/>
  <c r="M165" i="2"/>
  <c r="C5" i="3" l="1"/>
  <c r="B5" i="3"/>
  <c r="C4" i="3"/>
  <c r="B9" i="3" s="1"/>
</calcChain>
</file>

<file path=xl/sharedStrings.xml><?xml version="1.0" encoding="utf-8"?>
<sst xmlns="http://schemas.openxmlformats.org/spreadsheetml/2006/main" count="1199" uniqueCount="524">
  <si>
    <t>customer_id</t>
  </si>
  <si>
    <t>full_name</t>
  </si>
  <si>
    <t>gender</t>
  </si>
  <si>
    <t>birth_date</t>
  </si>
  <si>
    <t>phone</t>
  </si>
  <si>
    <t>email</t>
  </si>
  <si>
    <t>city</t>
  </si>
  <si>
    <t>region</t>
  </si>
  <si>
    <t>loyalty_tier</t>
  </si>
  <si>
    <t>registration_date</t>
  </si>
  <si>
    <t>CUS01518</t>
  </si>
  <si>
    <t>Mohamed Mansour</t>
  </si>
  <si>
    <t>Male</t>
  </si>
  <si>
    <t>mohamed.mansour52@hotmail.com</t>
  </si>
  <si>
    <t>Suez</t>
  </si>
  <si>
    <t>Canal Zone</t>
  </si>
  <si>
    <t>Bronze</t>
  </si>
  <si>
    <t>CUS02370</t>
  </si>
  <si>
    <t xml:space="preserve">  Maged Lotfy  </t>
  </si>
  <si>
    <t>Zagazig</t>
  </si>
  <si>
    <t>Nile Delta</t>
  </si>
  <si>
    <t>CUS01962</t>
  </si>
  <si>
    <t>Ahmed Hafez</t>
  </si>
  <si>
    <t>MALE</t>
  </si>
  <si>
    <t>ahmed.hafez18@outlook.com</t>
  </si>
  <si>
    <t>Giza</t>
  </si>
  <si>
    <t>Greater Cairo</t>
  </si>
  <si>
    <t>Gold</t>
  </si>
  <si>
    <t>CUS00344</t>
  </si>
  <si>
    <t>Hoda Fathy</t>
  </si>
  <si>
    <t xml:space="preserve"> female </t>
  </si>
  <si>
    <t>hoda.fathy26@outlook.com</t>
  </si>
  <si>
    <t>CUS02664</t>
  </si>
  <si>
    <t>Hussein Lotfy</t>
  </si>
  <si>
    <t>hussein.lotfy80@gmail.com</t>
  </si>
  <si>
    <t>Tanta</t>
  </si>
  <si>
    <t>gold</t>
  </si>
  <si>
    <t>CUS01174</t>
  </si>
  <si>
    <t>Nour Mostafa</t>
  </si>
  <si>
    <t>Female</t>
  </si>
  <si>
    <t>nour.mostafa72@hotmail.com</t>
  </si>
  <si>
    <t>Cairo</t>
  </si>
  <si>
    <t xml:space="preserve"> SILVER </t>
  </si>
  <si>
    <t>CUS02677</t>
  </si>
  <si>
    <t>Hazem Hamdy</t>
  </si>
  <si>
    <t>hazem.hamdy68@outlook.com</t>
  </si>
  <si>
    <t xml:space="preserve">  Giza  </t>
  </si>
  <si>
    <t>CUS01028</t>
  </si>
  <si>
    <t>Fatima Ramadan</t>
  </si>
  <si>
    <t xml:space="preserve"> fatima.ramadan42@outlook.com </t>
  </si>
  <si>
    <t>Aswan</t>
  </si>
  <si>
    <t>Upper Egypt</t>
  </si>
  <si>
    <t>CUS02084</t>
  </si>
  <si>
    <t>Ramy Farouk</t>
  </si>
  <si>
    <t>male</t>
  </si>
  <si>
    <t>Silver</t>
  </si>
  <si>
    <t>CUS01445</t>
  </si>
  <si>
    <t>Sherif Zaki</t>
  </si>
  <si>
    <t>sherif.zaki7@hotmail.com</t>
  </si>
  <si>
    <t>Luxor</t>
  </si>
  <si>
    <t>CUS00933</t>
  </si>
  <si>
    <t>bassem.farouk40@gmail.com</t>
  </si>
  <si>
    <t>Ismailia</t>
  </si>
  <si>
    <t>CUS00179</t>
  </si>
  <si>
    <t>Hossam Fathy</t>
  </si>
  <si>
    <t>hossam.fathy16@yahoo.com</t>
  </si>
  <si>
    <t>Port Said</t>
  </si>
  <si>
    <t>CUS01594</t>
  </si>
  <si>
    <t>Hoda Badawi</t>
  </si>
  <si>
    <t>14/11/1985</t>
  </si>
  <si>
    <t>hoda.badawi40@yahoo.com</t>
  </si>
  <si>
    <t>CUS01948</t>
  </si>
  <si>
    <t>Ahmed Mostafa</t>
  </si>
  <si>
    <t>1980-12-01</t>
  </si>
  <si>
    <t>ahmed.mostafa83@hotmail.com</t>
  </si>
  <si>
    <t>Platinum</t>
  </si>
  <si>
    <t>CUS01663</t>
  </si>
  <si>
    <t>Yasmin Khalil</t>
  </si>
  <si>
    <t>yasmin.khalil15@gmail.com</t>
  </si>
  <si>
    <t>11/23/2023</t>
  </si>
  <si>
    <t>CUS02432</t>
  </si>
  <si>
    <t>Hussein Younis</t>
  </si>
  <si>
    <t>hussein.younis30@yahoo.com</t>
  </si>
  <si>
    <t>not a date</t>
  </si>
  <si>
    <t>CUS02863</t>
  </si>
  <si>
    <t>Ramy Ramadan</t>
  </si>
  <si>
    <t>UnknownGender</t>
  </si>
  <si>
    <t>ramy.ramadan58@yahoo.com</t>
  </si>
  <si>
    <t>CUS02343</t>
  </si>
  <si>
    <t>Doha Shaaban</t>
  </si>
  <si>
    <t>doha.shaaban46@gmail.com</t>
  </si>
  <si>
    <t>CUS01498</t>
  </si>
  <si>
    <t>Tarek Ragab</t>
  </si>
  <si>
    <t>tarek.ragab11@gmail.com</t>
  </si>
  <si>
    <t>Alexandria</t>
  </si>
  <si>
    <t>CUS02967</t>
  </si>
  <si>
    <t>Ibrahim Bakr</t>
  </si>
  <si>
    <t>ibrahim.bakr8@outlook.com</t>
  </si>
  <si>
    <t>CUS02414</t>
  </si>
  <si>
    <t>Salma Zaki</t>
  </si>
  <si>
    <t>FEMALE</t>
  </si>
  <si>
    <t>salma.zaki23@hotmail.com</t>
  </si>
  <si>
    <t>CUS02808</t>
  </si>
  <si>
    <t>Ramy Ali</t>
  </si>
  <si>
    <t>ramy.ali33@hotmail.com</t>
  </si>
  <si>
    <t>CUS01284</t>
  </si>
  <si>
    <t>Hany Khalil</t>
  </si>
  <si>
    <t>hany.khalil59@outlook.com</t>
  </si>
  <si>
    <t>CUS02869</t>
  </si>
  <si>
    <t>Engy Attia</t>
  </si>
  <si>
    <t>engy.attia68@yahoo.com</t>
  </si>
  <si>
    <t>CUS00890</t>
  </si>
  <si>
    <t>Tarek Lotfy</t>
  </si>
  <si>
    <t>CUS01460</t>
  </si>
  <si>
    <t>Nour Bakr</t>
  </si>
  <si>
    <t>nour.bakr54@hotmail.com</t>
  </si>
  <si>
    <t>Mansoura</t>
  </si>
  <si>
    <t>CUS00652</t>
  </si>
  <si>
    <t>Ramy Mansour</t>
  </si>
  <si>
    <t>ramy.mansour11@hotmail.com</t>
  </si>
  <si>
    <t>CUS01437</t>
  </si>
  <si>
    <t>Yasmin Abdallah</t>
  </si>
  <si>
    <t>yasmin.abdallah68@gmail.com</t>
  </si>
  <si>
    <t>CUS00555</t>
  </si>
  <si>
    <t>Omar Ahmed</t>
  </si>
  <si>
    <t>CUS02264</t>
  </si>
  <si>
    <t>Hussein Hassan</t>
  </si>
  <si>
    <t>hussein.hassan95@hotmail.com</t>
  </si>
  <si>
    <t>CUS00440</t>
  </si>
  <si>
    <t>Ahmed Zaki</t>
  </si>
  <si>
    <t>CUS02568</t>
  </si>
  <si>
    <t>Rana Ismail</t>
  </si>
  <si>
    <t>female</t>
  </si>
  <si>
    <t>rana.ismail64@gmail.com</t>
  </si>
  <si>
    <t>CUS01042</t>
  </si>
  <si>
    <t>Amr Salem</t>
  </si>
  <si>
    <t>amr.salem38@yahoo.com</t>
  </si>
  <si>
    <t>Hurghada</t>
  </si>
  <si>
    <t>Red Sea</t>
  </si>
  <si>
    <t>CUS01227</t>
  </si>
  <si>
    <t>Fady Lotfy</t>
  </si>
  <si>
    <t>fady.lotfy20@gmail.com</t>
  </si>
  <si>
    <t>CUS00189</t>
  </si>
  <si>
    <t>Dina Attia</t>
  </si>
  <si>
    <t>dina.attia61@yahoo.com</t>
  </si>
  <si>
    <t>CUS01780</t>
  </si>
  <si>
    <t>Sherif Hamdy</t>
  </si>
  <si>
    <t>CUS00496</t>
  </si>
  <si>
    <t>Nadia Badawi</t>
  </si>
  <si>
    <t>nadia.badawi95@yahoo.com</t>
  </si>
  <si>
    <t>CUS00791</t>
  </si>
  <si>
    <t>Ibrahim Hamdy</t>
  </si>
  <si>
    <t>ibrahim.hamdy27@outlook.com</t>
  </si>
  <si>
    <t>CUS00573</t>
  </si>
  <si>
    <t>Manar Ibrahim</t>
  </si>
  <si>
    <t>manar.ibrahim47@hotmail.com</t>
  </si>
  <si>
    <t>CUS02191</t>
  </si>
  <si>
    <t>Hoda Younis</t>
  </si>
  <si>
    <t>hoda.younis8@hotmail.com</t>
  </si>
  <si>
    <t>CUS01711</t>
  </si>
  <si>
    <t>Hana Badawi</t>
  </si>
  <si>
    <t>hana.badawi79@yahoo.com</t>
  </si>
  <si>
    <t>CUS00832</t>
  </si>
  <si>
    <t>Rania Ahmed</t>
  </si>
  <si>
    <t>rania.ahmed91@gmail.com</t>
  </si>
  <si>
    <t>CUS00360</t>
  </si>
  <si>
    <t>Heba Lotfy</t>
  </si>
  <si>
    <t>heba.lotfy31@yahoo.com</t>
  </si>
  <si>
    <t>CUS02620</t>
  </si>
  <si>
    <t>Essam Salem</t>
  </si>
  <si>
    <t>essam.salem29@yahoo.com</t>
  </si>
  <si>
    <t>CUS02008</t>
  </si>
  <si>
    <t>Dalia Gamal</t>
  </si>
  <si>
    <t>dalia.gamal68@gmail.com</t>
  </si>
  <si>
    <t>CUS00569</t>
  </si>
  <si>
    <t>Ghada Gouda</t>
  </si>
  <si>
    <t>ghada.gouda76@gmail.com</t>
  </si>
  <si>
    <t>CUS00103</t>
  </si>
  <si>
    <t>Doha Ramadan</t>
  </si>
  <si>
    <t>doha.ramadan87@hotmail.com</t>
  </si>
  <si>
    <t>CUS01584</t>
  </si>
  <si>
    <t>Adel Hamdy</t>
  </si>
  <si>
    <t>CUS02287</t>
  </si>
  <si>
    <t>Engy Gouda</t>
  </si>
  <si>
    <t>engy.gouda79@gmail.com</t>
  </si>
  <si>
    <t>CUS02013</t>
  </si>
  <si>
    <t>Zeinab Wahba</t>
  </si>
  <si>
    <t>zeinab.wahba56@outlook.com</t>
  </si>
  <si>
    <t>CUS02663</t>
  </si>
  <si>
    <t>Emad Khalil</t>
  </si>
  <si>
    <t>emad.khalil79@outlook.com</t>
  </si>
  <si>
    <t>CUS02824</t>
  </si>
  <si>
    <t>Aisha Saad</t>
  </si>
  <si>
    <t>CUS01180</t>
  </si>
  <si>
    <t>Doha Abdallah</t>
  </si>
  <si>
    <t>doha.abdallah41@gmail.com</t>
  </si>
  <si>
    <t>CUS00052</t>
  </si>
  <si>
    <t>Emad Ahmed</t>
  </si>
  <si>
    <t>emad.ahmed30@gmail.com</t>
  </si>
  <si>
    <t>CUS00508</t>
  </si>
  <si>
    <t>Mona Gamal</t>
  </si>
  <si>
    <t>mona.gamal93@gmail.com</t>
  </si>
  <si>
    <t>CUS01018</t>
  </si>
  <si>
    <t>Ayman Fathy</t>
  </si>
  <si>
    <t>ayman.fathy26@outlook.com</t>
  </si>
  <si>
    <t>CUS01092</t>
  </si>
  <si>
    <t>Aisha Mostafa</t>
  </si>
  <si>
    <t>aisha.mostafa61@hotmail.com</t>
  </si>
  <si>
    <t>CUS00064</t>
  </si>
  <si>
    <t>Emad Bakr</t>
  </si>
  <si>
    <t>emad.bakr77@outlook.com</t>
  </si>
  <si>
    <t>CUS00945</t>
  </si>
  <si>
    <t>Karim Ramadan</t>
  </si>
  <si>
    <t>karim.ramadan21@outlook.com</t>
  </si>
  <si>
    <t>CUS02376</t>
  </si>
  <si>
    <t>Maged Bakr</t>
  </si>
  <si>
    <t>maged.bakr1@hotmail.com</t>
  </si>
  <si>
    <t>CUS00045</t>
  </si>
  <si>
    <t>Samir Abdallah</t>
  </si>
  <si>
    <t>CUS02708</t>
  </si>
  <si>
    <t>Hossam Ibrahim</t>
  </si>
  <si>
    <t>hossam.ibrahim93@yahoo.com</t>
  </si>
  <si>
    <t>CUS01511</t>
  </si>
  <si>
    <t>Ali Ragab</t>
  </si>
  <si>
    <t>ali.ragab56@yahoo.com</t>
  </si>
  <si>
    <t>CUS00255</t>
  </si>
  <si>
    <t>Magdy Barakat</t>
  </si>
  <si>
    <t>magdy.barakat22@gmail.com</t>
  </si>
  <si>
    <t>CUS00322</t>
  </si>
  <si>
    <t>Shaimaa Ragab</t>
  </si>
  <si>
    <t>shaimaa.ragab32@outlook.com</t>
  </si>
  <si>
    <t>CUS02805</t>
  </si>
  <si>
    <t>Fady Salem</t>
  </si>
  <si>
    <t>fady.salem20@gmail.com</t>
  </si>
  <si>
    <t>CUS02938</t>
  </si>
  <si>
    <t>Suzy Mohamed</t>
  </si>
  <si>
    <t>suzy.mohamed95@yahoo.com</t>
  </si>
  <si>
    <t>CUS00706</t>
  </si>
  <si>
    <t>Hana Ismail</t>
  </si>
  <si>
    <t>hana.ismail73@hotmail.com</t>
  </si>
  <si>
    <t>CUS02271</t>
  </si>
  <si>
    <t>Nadia Rizk</t>
  </si>
  <si>
    <t>nadia.rizk62@hotmail.com</t>
  </si>
  <si>
    <t>CUS02125</t>
  </si>
  <si>
    <t>Radwa Ali</t>
  </si>
  <si>
    <t>radwa.ali88@gmail.com</t>
  </si>
  <si>
    <t>CUS02862</t>
  </si>
  <si>
    <t>Hassan Mohamed</t>
  </si>
  <si>
    <t>hassan.mohamed1@yahoo.com</t>
  </si>
  <si>
    <t>CUS02590</t>
  </si>
  <si>
    <t>Emad Fathy</t>
  </si>
  <si>
    <t>emad.fathy33@hotmail.com</t>
  </si>
  <si>
    <t>CUS02445</t>
  </si>
  <si>
    <t>Nadia Amin</t>
  </si>
  <si>
    <t>nadia.amin79@outlook.com</t>
  </si>
  <si>
    <t>CUS01452</t>
  </si>
  <si>
    <t>Dalia Ramadan</t>
  </si>
  <si>
    <t>dalia.ramadan65@outlook.com</t>
  </si>
  <si>
    <t>CUS00140</t>
  </si>
  <si>
    <t>Reem Ali</t>
  </si>
  <si>
    <t>reem.ali42@yahoo.com</t>
  </si>
  <si>
    <t>CUS02575</t>
  </si>
  <si>
    <t>Bassem Badawi</t>
  </si>
  <si>
    <t>bassem.badawi24@outlook.com</t>
  </si>
  <si>
    <t>CUS00582</t>
  </si>
  <si>
    <t>Hana Ramadan</t>
  </si>
  <si>
    <t>hana.ramadan37@hotmail.com</t>
  </si>
  <si>
    <t>CUS02606</t>
  </si>
  <si>
    <t>Reem Badawi</t>
  </si>
  <si>
    <t>reem.badawi76@hotmail.com</t>
  </si>
  <si>
    <t>CUS00810</t>
  </si>
  <si>
    <t>Karim Gouda</t>
  </si>
  <si>
    <t>karim.gouda93@yahoo.com</t>
  </si>
  <si>
    <t>CUS02592</t>
  </si>
  <si>
    <t>Mohamed Younis</t>
  </si>
  <si>
    <t>mohamed.younis28@yahoo.com</t>
  </si>
  <si>
    <t>CUS01823</t>
  </si>
  <si>
    <t>Lobna Attia</t>
  </si>
  <si>
    <t>lobna.attia37@outlook.com</t>
  </si>
  <si>
    <t>CUS01476</t>
  </si>
  <si>
    <t>Amr Ali</t>
  </si>
  <si>
    <t>amr.ali22@hotmail.com</t>
  </si>
  <si>
    <t>CUS01892</t>
  </si>
  <si>
    <t>Reem Ibrahim</t>
  </si>
  <si>
    <t>CUS01428</t>
  </si>
  <si>
    <t>Maged Ismail</t>
  </si>
  <si>
    <t>maged.ismail63@yahoo.com</t>
  </si>
  <si>
    <t>CUS02586</t>
  </si>
  <si>
    <t>Mohamed Farouk</t>
  </si>
  <si>
    <t>mohamed.farouk48@outlook.com</t>
  </si>
  <si>
    <t>CUS00135</t>
  </si>
  <si>
    <t>adel.hamdy61@gmail.com</t>
  </si>
  <si>
    <t>CUS00742</t>
  </si>
  <si>
    <t>Bassem Lotfy</t>
  </si>
  <si>
    <t>bassem.lotfy42@gmail.com</t>
  </si>
  <si>
    <t>CUS00965</t>
  </si>
  <si>
    <t>Magdy Younis</t>
  </si>
  <si>
    <t>magdy.younis91@hotmail.com</t>
  </si>
  <si>
    <t>CUS00150</t>
  </si>
  <si>
    <t>Hussein Khalil</t>
  </si>
  <si>
    <t>hussein.khalil41@hotmail.com</t>
  </si>
  <si>
    <t>CUS00241</t>
  </si>
  <si>
    <t>Radwa Ragab</t>
  </si>
  <si>
    <t>radwa.ragab9@outlook.com</t>
  </si>
  <si>
    <t>CUS01767</t>
  </si>
  <si>
    <t>Aisha Ismail</t>
  </si>
  <si>
    <t>aisha.ismail70@gmail.com</t>
  </si>
  <si>
    <t>CUS01897</t>
  </si>
  <si>
    <t>Fady Barakat</t>
  </si>
  <si>
    <t>fady.barakat40@outlook.com</t>
  </si>
  <si>
    <t>CUS02322</t>
  </si>
  <si>
    <t>Maged Ali</t>
  </si>
  <si>
    <t>maged.ali99@hotmail.com</t>
  </si>
  <si>
    <t>CUS00175</t>
  </si>
  <si>
    <t>Ashraf Badawi</t>
  </si>
  <si>
    <t>ashraf.badawi27@gmail.com</t>
  </si>
  <si>
    <t>CUS00053</t>
  </si>
  <si>
    <t>Hoda Amin</t>
  </si>
  <si>
    <t>hoda.amin80@yahoo.com</t>
  </si>
  <si>
    <t>CUS01147</t>
  </si>
  <si>
    <t>Ashraf Sayed</t>
  </si>
  <si>
    <t>ashraf.sayed60@gmail.com</t>
  </si>
  <si>
    <t>CUS00145</t>
  </si>
  <si>
    <t>Neveen Attia</t>
  </si>
  <si>
    <t>neveen.attia42@gmail.com</t>
  </si>
  <si>
    <t>CUS00332</t>
  </si>
  <si>
    <t>Ayman Mohamed</t>
  </si>
  <si>
    <t>ayman.mohamed31@gmail.com</t>
  </si>
  <si>
    <t>CUS00247</t>
  </si>
  <si>
    <t>Nader Khalil</t>
  </si>
  <si>
    <t>nader.khalil68@gmail.com</t>
  </si>
  <si>
    <t>CUS01972</t>
  </si>
  <si>
    <t>Mona Saad</t>
  </si>
  <si>
    <t>mona.saad53@gmail.com</t>
  </si>
  <si>
    <t>CUS02485</t>
  </si>
  <si>
    <t>Ali Gouda</t>
  </si>
  <si>
    <t>ali.gouda8@hotmail.com</t>
  </si>
  <si>
    <t>CUS01621</t>
  </si>
  <si>
    <t>aisha.ismail48@hotmail.com</t>
  </si>
  <si>
    <t>CUS00558</t>
  </si>
  <si>
    <t>Tarek Barakat</t>
  </si>
  <si>
    <t>tarek.barakat78@hotmail.com</t>
  </si>
  <si>
    <t>CUS00252</t>
  </si>
  <si>
    <t>Hussein Nasser</t>
  </si>
  <si>
    <t>hussein.nasser49@outlook.com</t>
  </si>
  <si>
    <t>CUS01117</t>
  </si>
  <si>
    <t>Reham Ragab</t>
  </si>
  <si>
    <t>reham.ragab4@yahoo.com</t>
  </si>
  <si>
    <t>CUS01878</t>
  </si>
  <si>
    <t>Mahmoud Lotfy</t>
  </si>
  <si>
    <t>mahmoud.lotfy8@hotmail.com</t>
  </si>
  <si>
    <t>CUS02523</t>
  </si>
  <si>
    <t>Ahmed Ramadan</t>
  </si>
  <si>
    <t>ahmed.ramadan91@yahoo.com</t>
  </si>
  <si>
    <t>CUS00212</t>
  </si>
  <si>
    <t>Ayman Shaaban</t>
  </si>
  <si>
    <t>ayman.shaaban46@hotmail.com</t>
  </si>
  <si>
    <t>CUS00001</t>
  </si>
  <si>
    <t>Manar Hamdy</t>
  </si>
  <si>
    <t>manar.hamdy91@yahoo.com</t>
  </si>
  <si>
    <t>CUS01477</t>
  </si>
  <si>
    <t>Dina Ibrahim</t>
  </si>
  <si>
    <t>dina.ibrahim81@yahoo.com</t>
  </si>
  <si>
    <t>CUS01554</t>
  </si>
  <si>
    <t>Youssef Ibrahim</t>
  </si>
  <si>
    <t>CUS01296</t>
  </si>
  <si>
    <t>Salma Barakat</t>
  </si>
  <si>
    <t>salma.barakat10@hotmail.com</t>
  </si>
  <si>
    <t>CUS00566</t>
  </si>
  <si>
    <t>Ola Younis</t>
  </si>
  <si>
    <t>ola.younis34@yahoo.com</t>
  </si>
  <si>
    <t>CUS01235</t>
  </si>
  <si>
    <t>Reham Hassan</t>
  </si>
  <si>
    <t>reham.hassan34@hotmail.com</t>
  </si>
  <si>
    <t>CUS01625</t>
  </si>
  <si>
    <t>Emad Ragab</t>
  </si>
  <si>
    <t>emad.ragab21@yahoo.com</t>
  </si>
  <si>
    <t>CUS02915</t>
  </si>
  <si>
    <t>Ashraf Gamal</t>
  </si>
  <si>
    <t>ashraf.gamal82@gmail.com</t>
  </si>
  <si>
    <t>CUS00790</t>
  </si>
  <si>
    <t>Walid Abdallah</t>
  </si>
  <si>
    <t>CUS00813</t>
  </si>
  <si>
    <t>Eman Barakat</t>
  </si>
  <si>
    <t>eman.barakat42@hotmail.com</t>
  </si>
  <si>
    <t>CUS00267</t>
  </si>
  <si>
    <t>Dalia Saad</t>
  </si>
  <si>
    <t>dalia.saad88@hotmail.com</t>
  </si>
  <si>
    <t>CUS02798</t>
  </si>
  <si>
    <t>Emad Attia</t>
  </si>
  <si>
    <t>emad.attia9@outlook.com</t>
  </si>
  <si>
    <t>CUS00323</t>
  </si>
  <si>
    <t>Lobna Khalil</t>
  </si>
  <si>
    <t>lobna.khalil28@hotmail.com</t>
  </si>
  <si>
    <t>CUS00033</t>
  </si>
  <si>
    <t>Heba Wahba</t>
  </si>
  <si>
    <t>heba.wahba38@hotmail.com</t>
  </si>
  <si>
    <t>CUS00371</t>
  </si>
  <si>
    <t>Neveen Lotfy</t>
  </si>
  <si>
    <t>neveen.lotfy73@yahoo.com</t>
  </si>
  <si>
    <t>CUS02464</t>
  </si>
  <si>
    <t>Hassan Hamdy</t>
  </si>
  <si>
    <t>hassan.hamdy84@yahoo.com</t>
  </si>
  <si>
    <t>CUS00015</t>
  </si>
  <si>
    <t>Heba Abdallah</t>
  </si>
  <si>
    <t>heba.abdallah32@outlook.com</t>
  </si>
  <si>
    <t>CUS00094</t>
  </si>
  <si>
    <t>Hany Nasser</t>
  </si>
  <si>
    <t>hany.nasser97@gmail.com</t>
  </si>
  <si>
    <t>CUS02758</t>
  </si>
  <si>
    <t>Rania Nasser</t>
  </si>
  <si>
    <t>rania.nasser45@hotmail.com</t>
  </si>
  <si>
    <t>CUS00880</t>
  </si>
  <si>
    <t>Mariam Barakat</t>
  </si>
  <si>
    <t>mariam.barakat7@yahoo.com</t>
  </si>
  <si>
    <t>CUS00643</t>
  </si>
  <si>
    <t>Samir Mansour</t>
  </si>
  <si>
    <t>samir.mansour34@yahoo.com</t>
  </si>
  <si>
    <t>CUS02098</t>
  </si>
  <si>
    <t>zeinab.wahba79@hotmail.com</t>
  </si>
  <si>
    <t>CUS01603</t>
  </si>
  <si>
    <t>Ali Younis</t>
  </si>
  <si>
    <t>ali.younis95@outlook.com</t>
  </si>
  <si>
    <t>CUS01107</t>
  </si>
  <si>
    <t>Maged Mohamed</t>
  </si>
  <si>
    <t>maged.mohamed11@outlook.com</t>
  </si>
  <si>
    <t>CUS00757</t>
  </si>
  <si>
    <t>Emad Salem</t>
  </si>
  <si>
    <t>CUS01076</t>
  </si>
  <si>
    <t>Nader Gamal</t>
  </si>
  <si>
    <t>nader.gamal12@gmail.com</t>
  </si>
  <si>
    <t>CUS00431</t>
  </si>
  <si>
    <t>Nadia Ibrahim</t>
  </si>
  <si>
    <t>nadia.ibrahim62@gmail.com</t>
  </si>
  <si>
    <t>CUS00451</t>
  </si>
  <si>
    <t>Radwa Hafez</t>
  </si>
  <si>
    <t>radwa.hafez56@hotmail.com</t>
  </si>
  <si>
    <t>CUS02003</t>
  </si>
  <si>
    <t>Hossam Badawi</t>
  </si>
  <si>
    <t>hossam.badawi73@outlook.com</t>
  </si>
  <si>
    <t>CUS01838</t>
  </si>
  <si>
    <t>Bassem Mahmoud</t>
  </si>
  <si>
    <t>bassem.mahmoud60@hotmail.com</t>
  </si>
  <si>
    <t>CUS01689</t>
  </si>
  <si>
    <t>Mona Amin</t>
  </si>
  <si>
    <t>CUS00692</t>
  </si>
  <si>
    <t>Essam Younis</t>
  </si>
  <si>
    <t>essam.younis81@hotmail.com</t>
  </si>
  <si>
    <t>CUS02638</t>
  </si>
  <si>
    <t>ashraf.sayed60@yahoo.com</t>
  </si>
  <si>
    <t>CUS01850</t>
  </si>
  <si>
    <t>Maged Ramadan</t>
  </si>
  <si>
    <t>CUS01430</t>
  </si>
  <si>
    <t>Heba Zaki</t>
  </si>
  <si>
    <t>heba.zaki88@yahoo.com</t>
  </si>
  <si>
    <t>CUS00760</t>
  </si>
  <si>
    <t>Mohamed Ramadan</t>
  </si>
  <si>
    <t>mohamed.ramadan39@hotmail.com</t>
  </si>
  <si>
    <t>CUS00185</t>
  </si>
  <si>
    <t>Mariam Nasser</t>
  </si>
  <si>
    <t>mariam.nasser12@hotmail.com</t>
  </si>
  <si>
    <t>CUS01236</t>
  </si>
  <si>
    <t>Manar Ahmed</t>
  </si>
  <si>
    <t>CUS00204</t>
  </si>
  <si>
    <t>Ramy Ahmed</t>
  </si>
  <si>
    <t>ramy.ahmed69@yahoo.com</t>
  </si>
  <si>
    <t>CUS00802</t>
  </si>
  <si>
    <t>Mahmoud Mansour</t>
  </si>
  <si>
    <t>mahmoud.mansour16@yahoo.com</t>
  </si>
  <si>
    <t>CUS00464</t>
  </si>
  <si>
    <t>Amira Mohamed</t>
  </si>
  <si>
    <t>amira.mohamed29@gmail.com</t>
  </si>
  <si>
    <t>CUS01424</t>
  </si>
  <si>
    <t>Eman Lotfy</t>
  </si>
  <si>
    <t>eman.lotfy35@yahoo.com</t>
  </si>
  <si>
    <t>Ahmed Zaki (duplicate ID)</t>
  </si>
  <si>
    <t>Rana Ismail (duplicate ID)</t>
  </si>
  <si>
    <t>Amr Salem (duplicate ID)</t>
  </si>
  <si>
    <t>Source_Row</t>
  </si>
  <si>
    <t>Customer_ID_Clean</t>
  </si>
  <si>
    <t>Full_Name_Clean</t>
  </si>
  <si>
    <t>Gender_Clean</t>
  </si>
  <si>
    <t>Birth_Date_Clean</t>
  </si>
  <si>
    <t>Phone_Clean</t>
  </si>
  <si>
    <t>Email_Clean</t>
  </si>
  <si>
    <t>City_Clean</t>
  </si>
  <si>
    <t>Region_Clean</t>
  </si>
  <si>
    <t>Loyalty_Tier_Clean</t>
  </si>
  <si>
    <t>Registration_Date_Clean</t>
  </si>
  <si>
    <t>Email_Domain</t>
  </si>
  <si>
    <t>ID_Prefix</t>
  </si>
  <si>
    <t>ID_Number</t>
  </si>
  <si>
    <t>Phone_Last4</t>
  </si>
  <si>
    <t>Display_Label</t>
  </si>
  <si>
    <t>Record_Status</t>
  </si>
  <si>
    <t>Keep_Record</t>
  </si>
  <si>
    <t>Data Quality Check – Formula Based</t>
  </si>
  <si>
    <t>Summary Metric</t>
  </si>
  <si>
    <t>Before</t>
  </si>
  <si>
    <t>After</t>
  </si>
  <si>
    <t>Status</t>
  </si>
  <si>
    <t>Total Raw Rows</t>
  </si>
  <si>
    <t>Formula</t>
  </si>
  <si>
    <t>Rows Kept</t>
  </si>
  <si>
    <t>Duplicate Rows Found</t>
  </si>
  <si>
    <t>Cleaned by flag</t>
  </si>
  <si>
    <t>Missing Values Found</t>
  </si>
  <si>
    <t>Handled by formula</t>
  </si>
  <si>
    <t>Invalid Records Found</t>
  </si>
  <si>
    <t>Flagged</t>
  </si>
  <si>
    <t>Rows Removed</t>
  </si>
  <si>
    <t>Calculated</t>
  </si>
  <si>
    <t>Rows Corrected</t>
  </si>
  <si>
    <t>Standardized</t>
  </si>
  <si>
    <t>Issue</t>
  </si>
  <si>
    <t>Duplicate Records</t>
  </si>
  <si>
    <t>Clean</t>
  </si>
  <si>
    <t>Blank / Null Values</t>
  </si>
  <si>
    <t>Handled</t>
  </si>
  <si>
    <t>Invalid Customer ID</t>
  </si>
  <si>
    <t>Invalid Date Values</t>
  </si>
  <si>
    <t>Inconsistent Gender / Tier</t>
  </si>
  <si>
    <t>Extra Spaces</t>
  </si>
  <si>
    <t>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</si>
</sst>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8"/>
      <color rgb="FFFFFFFF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F6B78"/>
      </patternFill>
    </fill>
    <fill>
      <patternFill patternType="solid">
        <fgColor rgb="FF0F6B78"/>
        <bgColor rgb="FF008080"/>
      </patternFill>
    </fill>
    <fill>
      <patternFill patternType="solid">
        <fgColor rgb="FFE2F0D9"/>
        <b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/>
    <xf numFmtId="164" fontId="0" fillId="0" borderId="1" xfId="0" applyNumberFormat="1" applyBorder="1"/>
    <xf numFmtId="0" fontId="0" fillId="0" borderId="0" xfId="0" applyBorder="1"/>
    <xf numFmtId="0" fontId="0" fillId="0" borderId="0" xfId="0" applyFont="1" applyBorder="1"/>
    <xf numFmtId="0" fontId="1" fillId="3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0" fillId="0" borderId="2" xfId="0" applyFont="1" applyBorder="1"/>
    <xf numFmtId="0" fontId="0" fillId="5" borderId="2" xfId="0" applyFont="1" applyFill="1" applyBorder="1"/>
    <xf numFmtId="0" fontId="1" fillId="2" borderId="0" xfId="0" applyFont="1" applyFill="1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2" fillId="2" borderId="0" xfId="0" applyFont="1" applyFill="1" applyBorder="1"/>
  </cellXfs>
  <cellStyles count="1">
    <cellStyle name="Normal" xfId="0" builtinId="0"/>
  </cellStyles>
  <dxfs count="21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7FBFF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ED7D31"/>
      <rgbColor rgb="FF666699"/>
      <rgbColor rgb="FF70AD47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DirtyCustomers" displayName="tblDirtyCustomers" ref="A1:J166" totalsRowShown="0">
  <autoFilter ref="A1:J166" xr:uid="{00000000-0009-0000-0100-000002000000}"/>
  <tableColumns count="10">
    <tableColumn id="1" xr3:uid="{00000000-0010-0000-0000-000001000000}" name="customer_id"/>
    <tableColumn id="2" xr3:uid="{00000000-0010-0000-0000-000002000000}" name="full_name"/>
    <tableColumn id="3" xr3:uid="{00000000-0010-0000-0000-000003000000}" name="gender"/>
    <tableColumn id="4" xr3:uid="{00000000-0010-0000-0000-000004000000}" name="birth_date"/>
    <tableColumn id="5" xr3:uid="{00000000-0010-0000-0000-000005000000}" name="phone"/>
    <tableColumn id="6" xr3:uid="{00000000-0010-0000-0000-000006000000}" name="email"/>
    <tableColumn id="7" xr3:uid="{00000000-0010-0000-0000-000007000000}" name="city"/>
    <tableColumn id="8" xr3:uid="{00000000-0010-0000-0000-000008000000}" name="region"/>
    <tableColumn id="9" xr3:uid="{00000000-0010-0000-0000-000009000000}" name="loyalty_tier"/>
    <tableColumn id="10" xr3:uid="{00000000-0010-0000-0000-00000A000000}" name="registration_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CleanFormula" displayName="tblCleanFormula" ref="A1:R166" totalsRowShown="0" headerRowDxfId="18">
  <autoFilter ref="A1:R166" xr:uid="{00000000-0009-0000-0100-000001000000}"/>
  <tableColumns count="18">
    <tableColumn id="1" xr3:uid="{00000000-0010-0000-0100-000001000000}" name="Source_Row" dataDxfId="17"/>
    <tableColumn id="2" xr3:uid="{00000000-0010-0000-0100-000002000000}" name="Customer_ID_Clean" dataDxfId="16"/>
    <tableColumn id="3" xr3:uid="{00000000-0010-0000-0100-000003000000}" name="Full_Name_Clean" dataDxfId="15"/>
    <tableColumn id="4" xr3:uid="{00000000-0010-0000-0100-000004000000}" name="Gender_Clean" dataDxfId="14"/>
    <tableColumn id="5" xr3:uid="{00000000-0010-0000-0100-000005000000}" name="Birth_Date_Clean" dataDxfId="13"/>
    <tableColumn id="6" xr3:uid="{00000000-0010-0000-0100-000006000000}" name="Phone_Clean" dataDxfId="12"/>
    <tableColumn id="7" xr3:uid="{00000000-0010-0000-0100-000007000000}" name="Email_Clean" dataDxfId="11"/>
    <tableColumn id="8" xr3:uid="{00000000-0010-0000-0100-000008000000}" name="City_Clean" dataDxfId="10"/>
    <tableColumn id="9" xr3:uid="{00000000-0010-0000-0100-000009000000}" name="Region_Clean" dataDxfId="9"/>
    <tableColumn id="10" xr3:uid="{00000000-0010-0000-0100-00000A000000}" name="Loyalty_Tier_Clean" dataDxfId="8"/>
    <tableColumn id="11" xr3:uid="{00000000-0010-0000-0100-00000B000000}" name="Registration_Date_Clean" dataDxfId="7"/>
    <tableColumn id="12" xr3:uid="{00000000-0010-0000-0100-00000C000000}" name="Email_Domain" dataDxfId="6"/>
    <tableColumn id="13" xr3:uid="{00000000-0010-0000-0100-00000D000000}" name="ID_Prefix" dataDxfId="5"/>
    <tableColumn id="14" xr3:uid="{00000000-0010-0000-0100-00000E000000}" name="ID_Number" dataDxfId="4"/>
    <tableColumn id="15" xr3:uid="{00000000-0010-0000-0100-00000F000000}" name="Phone_Last4" dataDxfId="3"/>
    <tableColumn id="16" xr3:uid="{00000000-0010-0000-0100-000010000000}" name="Display_Label" dataDxfId="2"/>
    <tableColumn id="17" xr3:uid="{00000000-0010-0000-0100-000011000000}" name="Record_Status" dataDxfId="1"/>
    <tableColumn id="18" xr3:uid="{00000000-0010-0000-0100-000012000000}" name="Keep_Recor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showGridLines="0" zoomScale="85" zoomScaleNormal="85" workbookViewId="0">
      <pane ySplit="1" topLeftCell="A2" activePane="bottomLeft" state="frozen"/>
      <selection pane="bottomLeft" activeCell="E35" sqref="E35"/>
    </sheetView>
  </sheetViews>
  <sheetFormatPr defaultColWidth="8.5703125" defaultRowHeight="15" x14ac:dyDescent="0.25"/>
  <cols>
    <col min="1" max="1" width="15" customWidth="1"/>
    <col min="2" max="8" width="14" customWidth="1"/>
    <col min="9" max="9" width="16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29707</v>
      </c>
      <c r="E2" s="2">
        <v>1158132110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44184</v>
      </c>
    </row>
    <row r="3" spans="1:10" x14ac:dyDescent="0.25">
      <c r="A3" s="2" t="s">
        <v>17</v>
      </c>
      <c r="B3" s="2" t="s">
        <v>18</v>
      </c>
      <c r="C3" s="2" t="s">
        <v>12</v>
      </c>
      <c r="D3" s="3">
        <v>37721</v>
      </c>
      <c r="E3" s="2">
        <v>1281872177</v>
      </c>
      <c r="F3" s="2"/>
      <c r="G3" s="2" t="s">
        <v>19</v>
      </c>
      <c r="H3" s="2" t="s">
        <v>20</v>
      </c>
      <c r="I3" s="2" t="s">
        <v>16</v>
      </c>
      <c r="J3" s="3">
        <v>44329</v>
      </c>
    </row>
    <row r="4" spans="1:10" x14ac:dyDescent="0.25">
      <c r="A4" s="2" t="s">
        <v>21</v>
      </c>
      <c r="B4" s="2" t="s">
        <v>22</v>
      </c>
      <c r="C4" s="2" t="s">
        <v>23</v>
      </c>
      <c r="D4" s="3">
        <v>26056</v>
      </c>
      <c r="E4" s="2">
        <v>1141856715</v>
      </c>
      <c r="F4" s="2" t="s">
        <v>24</v>
      </c>
      <c r="G4" s="2" t="s">
        <v>25</v>
      </c>
      <c r="H4" s="2" t="s">
        <v>26</v>
      </c>
      <c r="I4" s="2" t="s">
        <v>27</v>
      </c>
      <c r="J4" s="3">
        <v>45195</v>
      </c>
    </row>
    <row r="5" spans="1:10" x14ac:dyDescent="0.25">
      <c r="A5" s="2" t="s">
        <v>28</v>
      </c>
      <c r="B5" s="2" t="s">
        <v>29</v>
      </c>
      <c r="C5" s="2" t="s">
        <v>30</v>
      </c>
      <c r="D5" s="3">
        <v>36665</v>
      </c>
      <c r="E5" s="2">
        <v>1195645083</v>
      </c>
      <c r="F5" s="2" t="s">
        <v>31</v>
      </c>
      <c r="G5" s="2" t="s">
        <v>25</v>
      </c>
      <c r="H5" s="2" t="s">
        <v>26</v>
      </c>
      <c r="I5" s="2" t="s">
        <v>16</v>
      </c>
      <c r="J5" s="3">
        <v>44384</v>
      </c>
    </row>
    <row r="6" spans="1:10" x14ac:dyDescent="0.25">
      <c r="A6" s="2" t="s">
        <v>32</v>
      </c>
      <c r="B6" s="2" t="s">
        <v>33</v>
      </c>
      <c r="C6" s="2" t="s">
        <v>23</v>
      </c>
      <c r="D6" s="3">
        <v>36155</v>
      </c>
      <c r="E6" s="2">
        <v>1149528740</v>
      </c>
      <c r="F6" s="2" t="s">
        <v>34</v>
      </c>
      <c r="G6" s="2" t="s">
        <v>35</v>
      </c>
      <c r="H6" s="2" t="s">
        <v>20</v>
      </c>
      <c r="I6" s="2" t="s">
        <v>36</v>
      </c>
      <c r="J6" s="3">
        <v>44839</v>
      </c>
    </row>
    <row r="7" spans="1:10" x14ac:dyDescent="0.25">
      <c r="A7" s="2" t="s">
        <v>37</v>
      </c>
      <c r="B7" s="2" t="s">
        <v>38</v>
      </c>
      <c r="C7" s="2" t="s">
        <v>39</v>
      </c>
      <c r="D7" s="3">
        <v>30843</v>
      </c>
      <c r="E7" s="2">
        <v>1114481563</v>
      </c>
      <c r="F7" s="2" t="s">
        <v>40</v>
      </c>
      <c r="G7" s="2" t="s">
        <v>41</v>
      </c>
      <c r="H7" s="2" t="s">
        <v>26</v>
      </c>
      <c r="I7" s="2" t="s">
        <v>42</v>
      </c>
      <c r="J7" s="3">
        <v>44476</v>
      </c>
    </row>
    <row r="8" spans="1:10" x14ac:dyDescent="0.25">
      <c r="A8" s="2" t="s">
        <v>43</v>
      </c>
      <c r="B8" s="2" t="s">
        <v>44</v>
      </c>
      <c r="C8" s="2" t="s">
        <v>23</v>
      </c>
      <c r="D8" s="3">
        <v>27297</v>
      </c>
      <c r="E8" s="2">
        <v>1084698064</v>
      </c>
      <c r="F8" s="2" t="s">
        <v>45</v>
      </c>
      <c r="G8" s="2" t="s">
        <v>46</v>
      </c>
      <c r="H8" s="2" t="s">
        <v>26</v>
      </c>
      <c r="I8" s="2" t="s">
        <v>16</v>
      </c>
      <c r="J8" s="3">
        <v>43858</v>
      </c>
    </row>
    <row r="9" spans="1:10" x14ac:dyDescent="0.25">
      <c r="A9" s="2" t="s">
        <v>47</v>
      </c>
      <c r="B9" s="2" t="s">
        <v>48</v>
      </c>
      <c r="C9" s="2" t="s">
        <v>39</v>
      </c>
      <c r="D9" s="3">
        <v>27687</v>
      </c>
      <c r="E9" s="2">
        <v>1019232076</v>
      </c>
      <c r="F9" s="2" t="s">
        <v>49</v>
      </c>
      <c r="G9" s="2" t="s">
        <v>50</v>
      </c>
      <c r="H9" s="2" t="s">
        <v>51</v>
      </c>
      <c r="I9" s="2" t="s">
        <v>16</v>
      </c>
      <c r="J9" s="3">
        <v>45019</v>
      </c>
    </row>
    <row r="10" spans="1:10" x14ac:dyDescent="0.25">
      <c r="A10" s="2" t="s">
        <v>52</v>
      </c>
      <c r="B10" s="2" t="s">
        <v>53</v>
      </c>
      <c r="C10" s="2" t="s">
        <v>54</v>
      </c>
      <c r="D10" s="3"/>
      <c r="E10" s="2">
        <v>1069113227</v>
      </c>
      <c r="F10" s="2"/>
      <c r="G10" s="2" t="s">
        <v>14</v>
      </c>
      <c r="H10" s="2" t="s">
        <v>15</v>
      </c>
      <c r="I10" s="2" t="s">
        <v>55</v>
      </c>
      <c r="J10" s="3">
        <v>44448</v>
      </c>
    </row>
    <row r="11" spans="1:10" x14ac:dyDescent="0.25">
      <c r="A11" s="2" t="s">
        <v>56</v>
      </c>
      <c r="B11" s="2" t="s">
        <v>57</v>
      </c>
      <c r="C11" s="2" t="s">
        <v>12</v>
      </c>
      <c r="D11" s="3">
        <v>33609</v>
      </c>
      <c r="E11" s="2"/>
      <c r="F11" s="2" t="s">
        <v>58</v>
      </c>
      <c r="G11" s="2" t="s">
        <v>59</v>
      </c>
      <c r="H11" s="2" t="s">
        <v>51</v>
      </c>
      <c r="I11" s="2" t="s">
        <v>55</v>
      </c>
      <c r="J11" s="3">
        <v>44129</v>
      </c>
    </row>
    <row r="12" spans="1:10" x14ac:dyDescent="0.25">
      <c r="A12" s="2" t="s">
        <v>60</v>
      </c>
      <c r="B12" s="2"/>
      <c r="C12" s="2" t="s">
        <v>12</v>
      </c>
      <c r="D12" s="3">
        <v>33225</v>
      </c>
      <c r="E12" s="2">
        <v>1229438263</v>
      </c>
      <c r="F12" s="2" t="s">
        <v>61</v>
      </c>
      <c r="G12" s="2" t="s">
        <v>62</v>
      </c>
      <c r="H12" s="2" t="s">
        <v>15</v>
      </c>
      <c r="I12" s="2" t="s">
        <v>55</v>
      </c>
      <c r="J12" s="3">
        <v>44191</v>
      </c>
    </row>
    <row r="13" spans="1:10" x14ac:dyDescent="0.25">
      <c r="A13" s="2" t="s">
        <v>63</v>
      </c>
      <c r="B13" s="2" t="s">
        <v>64</v>
      </c>
      <c r="C13" s="2" t="s">
        <v>54</v>
      </c>
      <c r="D13" s="3">
        <v>29867</v>
      </c>
      <c r="E13" s="2">
        <v>1248988647</v>
      </c>
      <c r="F13" s="2" t="s">
        <v>65</v>
      </c>
      <c r="G13" s="2" t="s">
        <v>66</v>
      </c>
      <c r="H13" s="2"/>
      <c r="I13" s="2" t="s">
        <v>16</v>
      </c>
      <c r="J13" s="3">
        <v>45109</v>
      </c>
    </row>
    <row r="14" spans="1:10" x14ac:dyDescent="0.25">
      <c r="A14" s="2" t="s">
        <v>67</v>
      </c>
      <c r="B14" s="2" t="s">
        <v>68</v>
      </c>
      <c r="C14" s="2" t="s">
        <v>39</v>
      </c>
      <c r="D14" s="3" t="s">
        <v>69</v>
      </c>
      <c r="E14" s="2">
        <v>1271886181</v>
      </c>
      <c r="F14" s="2" t="s">
        <v>70</v>
      </c>
      <c r="G14" s="2" t="s">
        <v>41</v>
      </c>
      <c r="H14" s="2" t="s">
        <v>26</v>
      </c>
      <c r="I14" s="2" t="s">
        <v>27</v>
      </c>
      <c r="J14" s="3">
        <v>44701</v>
      </c>
    </row>
    <row r="15" spans="1:10" x14ac:dyDescent="0.25">
      <c r="A15" s="2" t="s">
        <v>71</v>
      </c>
      <c r="B15" s="2" t="s">
        <v>72</v>
      </c>
      <c r="C15" s="2" t="s">
        <v>54</v>
      </c>
      <c r="D15" s="3" t="s">
        <v>73</v>
      </c>
      <c r="E15" s="2">
        <v>1070428122</v>
      </c>
      <c r="F15" s="2" t="s">
        <v>74</v>
      </c>
      <c r="G15" s="2" t="s">
        <v>41</v>
      </c>
      <c r="H15" s="2" t="s">
        <v>26</v>
      </c>
      <c r="I15" s="2" t="s">
        <v>75</v>
      </c>
      <c r="J15" s="3">
        <v>44762</v>
      </c>
    </row>
    <row r="16" spans="1:10" x14ac:dyDescent="0.25">
      <c r="A16" s="2" t="s">
        <v>76</v>
      </c>
      <c r="B16" s="2" t="s">
        <v>77</v>
      </c>
      <c r="C16" s="2" t="s">
        <v>39</v>
      </c>
      <c r="D16" s="3"/>
      <c r="E16" s="2">
        <v>1078622351</v>
      </c>
      <c r="F16" s="2" t="s">
        <v>78</v>
      </c>
      <c r="G16" s="2" t="s">
        <v>14</v>
      </c>
      <c r="H16" s="2" t="s">
        <v>15</v>
      </c>
      <c r="I16" s="2" t="s">
        <v>55</v>
      </c>
      <c r="J16" s="3" t="s">
        <v>79</v>
      </c>
    </row>
    <row r="17" spans="1:10" x14ac:dyDescent="0.25">
      <c r="A17" s="2" t="s">
        <v>80</v>
      </c>
      <c r="B17" s="2" t="s">
        <v>81</v>
      </c>
      <c r="C17" s="2" t="s">
        <v>12</v>
      </c>
      <c r="D17" s="3">
        <v>34676</v>
      </c>
      <c r="E17" s="2">
        <v>1224467198</v>
      </c>
      <c r="F17" s="2" t="s">
        <v>82</v>
      </c>
      <c r="G17" s="2" t="s">
        <v>50</v>
      </c>
      <c r="H17" s="2" t="s">
        <v>51</v>
      </c>
      <c r="I17" s="2" t="s">
        <v>16</v>
      </c>
      <c r="J17" s="3" t="s">
        <v>83</v>
      </c>
    </row>
    <row r="18" spans="1:10" x14ac:dyDescent="0.25">
      <c r="A18" s="2" t="s">
        <v>84</v>
      </c>
      <c r="B18" s="2" t="s">
        <v>85</v>
      </c>
      <c r="C18" s="2" t="s">
        <v>86</v>
      </c>
      <c r="D18" s="3">
        <v>32650</v>
      </c>
      <c r="E18" s="2">
        <v>1019329244</v>
      </c>
      <c r="F18" s="2" t="s">
        <v>87</v>
      </c>
      <c r="G18" s="2" t="s">
        <v>66</v>
      </c>
      <c r="H18" s="2" t="s">
        <v>15</v>
      </c>
      <c r="I18" s="2" t="s">
        <v>75</v>
      </c>
      <c r="J18" s="3">
        <v>45035</v>
      </c>
    </row>
    <row r="19" spans="1:10" x14ac:dyDescent="0.25">
      <c r="A19" s="2" t="s">
        <v>88</v>
      </c>
      <c r="B19" s="2" t="s">
        <v>89</v>
      </c>
      <c r="C19" s="2" t="s">
        <v>39</v>
      </c>
      <c r="D19" s="3">
        <v>35936</v>
      </c>
      <c r="E19" s="2">
        <v>1093235590</v>
      </c>
      <c r="F19" s="2" t="s">
        <v>90</v>
      </c>
      <c r="G19" s="2" t="s">
        <v>41</v>
      </c>
      <c r="H19" s="2" t="s">
        <v>26</v>
      </c>
      <c r="I19" s="2" t="s">
        <v>75</v>
      </c>
      <c r="J19" s="3">
        <v>44792</v>
      </c>
    </row>
    <row r="20" spans="1:10" x14ac:dyDescent="0.25">
      <c r="A20" s="2" t="s">
        <v>91</v>
      </c>
      <c r="B20" s="2" t="s">
        <v>92</v>
      </c>
      <c r="C20" s="2" t="s">
        <v>12</v>
      </c>
      <c r="D20" s="3">
        <v>27080</v>
      </c>
      <c r="E20" s="2">
        <v>1290242618</v>
      </c>
      <c r="F20" s="2" t="s">
        <v>93</v>
      </c>
      <c r="G20" s="2" t="s">
        <v>94</v>
      </c>
      <c r="H20" s="2" t="s">
        <v>94</v>
      </c>
      <c r="I20" s="2" t="s">
        <v>55</v>
      </c>
      <c r="J20" s="3">
        <v>44146</v>
      </c>
    </row>
    <row r="21" spans="1:10" x14ac:dyDescent="0.25">
      <c r="A21" s="2" t="s">
        <v>95</v>
      </c>
      <c r="B21" s="2" t="s">
        <v>96</v>
      </c>
      <c r="C21" s="2" t="s">
        <v>12</v>
      </c>
      <c r="D21" s="3">
        <v>29300</v>
      </c>
      <c r="E21" s="2">
        <v>1221940949</v>
      </c>
      <c r="F21" s="2" t="s">
        <v>97</v>
      </c>
      <c r="G21" s="2" t="s">
        <v>19</v>
      </c>
      <c r="H21" s="2" t="s">
        <v>20</v>
      </c>
      <c r="I21" s="2" t="s">
        <v>75</v>
      </c>
      <c r="J21" s="3">
        <v>44486</v>
      </c>
    </row>
    <row r="22" spans="1:10" x14ac:dyDescent="0.25">
      <c r="A22" s="2" t="s">
        <v>98</v>
      </c>
      <c r="B22" s="2" t="s">
        <v>99</v>
      </c>
      <c r="C22" s="2" t="s">
        <v>100</v>
      </c>
      <c r="D22" s="3">
        <v>28252</v>
      </c>
      <c r="E22" s="2">
        <v>1095240437</v>
      </c>
      <c r="F22" s="2" t="s">
        <v>101</v>
      </c>
      <c r="G22" s="2" t="s">
        <v>41</v>
      </c>
      <c r="H22" s="2" t="s">
        <v>26</v>
      </c>
      <c r="I22" s="2" t="s">
        <v>16</v>
      </c>
      <c r="J22" s="3">
        <v>45177</v>
      </c>
    </row>
    <row r="23" spans="1:10" x14ac:dyDescent="0.25">
      <c r="A23" s="2" t="s">
        <v>102</v>
      </c>
      <c r="B23" s="2" t="s">
        <v>103</v>
      </c>
      <c r="C23" s="2" t="s">
        <v>12</v>
      </c>
      <c r="D23" s="3">
        <v>34985</v>
      </c>
      <c r="E23" s="2">
        <v>1225235645</v>
      </c>
      <c r="F23" s="2" t="s">
        <v>104</v>
      </c>
      <c r="G23" s="2" t="s">
        <v>41</v>
      </c>
      <c r="H23" s="2" t="s">
        <v>26</v>
      </c>
      <c r="I23" s="2" t="s">
        <v>16</v>
      </c>
      <c r="J23" s="3">
        <v>44627</v>
      </c>
    </row>
    <row r="24" spans="1:10" x14ac:dyDescent="0.25">
      <c r="A24" s="2" t="s">
        <v>105</v>
      </c>
      <c r="B24" s="2" t="s">
        <v>106</v>
      </c>
      <c r="C24" s="2" t="s">
        <v>12</v>
      </c>
      <c r="D24" s="3">
        <v>35454</v>
      </c>
      <c r="E24" s="2">
        <v>1258398175</v>
      </c>
      <c r="F24" s="2" t="s">
        <v>107</v>
      </c>
      <c r="G24" s="2" t="s">
        <v>41</v>
      </c>
      <c r="H24" s="2" t="s">
        <v>26</v>
      </c>
      <c r="I24" s="2" t="s">
        <v>16</v>
      </c>
      <c r="J24" s="3">
        <v>45063</v>
      </c>
    </row>
    <row r="25" spans="1:10" x14ac:dyDescent="0.25">
      <c r="A25" s="2" t="s">
        <v>108</v>
      </c>
      <c r="B25" s="2" t="s">
        <v>109</v>
      </c>
      <c r="C25" s="2" t="s">
        <v>39</v>
      </c>
      <c r="D25" s="3"/>
      <c r="E25" s="2">
        <v>1027978174</v>
      </c>
      <c r="F25" s="2" t="s">
        <v>110</v>
      </c>
      <c r="G25" s="2" t="s">
        <v>25</v>
      </c>
      <c r="H25" s="2" t="s">
        <v>26</v>
      </c>
      <c r="I25" s="2" t="s">
        <v>16</v>
      </c>
      <c r="J25" s="3">
        <v>43837</v>
      </c>
    </row>
    <row r="26" spans="1:10" x14ac:dyDescent="0.25">
      <c r="A26" s="2" t="s">
        <v>111</v>
      </c>
      <c r="B26" s="2" t="s">
        <v>112</v>
      </c>
      <c r="C26" s="2" t="s">
        <v>12</v>
      </c>
      <c r="D26" s="3">
        <v>32574</v>
      </c>
      <c r="E26" s="2">
        <v>1044810342</v>
      </c>
      <c r="F26" s="2"/>
      <c r="G26" s="2" t="s">
        <v>41</v>
      </c>
      <c r="H26" s="2" t="s">
        <v>26</v>
      </c>
      <c r="I26" s="2" t="s">
        <v>16</v>
      </c>
      <c r="J26" s="3">
        <v>44940</v>
      </c>
    </row>
    <row r="27" spans="1:10" x14ac:dyDescent="0.25">
      <c r="A27" s="2" t="s">
        <v>113</v>
      </c>
      <c r="B27" s="2" t="s">
        <v>114</v>
      </c>
      <c r="C27" s="2" t="s">
        <v>39</v>
      </c>
      <c r="D27" s="3">
        <v>29284</v>
      </c>
      <c r="E27" s="2">
        <v>1126675052</v>
      </c>
      <c r="F27" s="2" t="s">
        <v>115</v>
      </c>
      <c r="G27" s="2" t="s">
        <v>116</v>
      </c>
      <c r="H27" s="2" t="s">
        <v>20</v>
      </c>
      <c r="I27" s="2" t="s">
        <v>55</v>
      </c>
      <c r="J27" s="3">
        <v>44094</v>
      </c>
    </row>
    <row r="28" spans="1:10" x14ac:dyDescent="0.25">
      <c r="A28" s="2" t="s">
        <v>117</v>
      </c>
      <c r="B28" s="2" t="s">
        <v>118</v>
      </c>
      <c r="C28" s="2" t="s">
        <v>23</v>
      </c>
      <c r="D28" s="3">
        <v>35566</v>
      </c>
      <c r="E28" s="2">
        <v>1034772080</v>
      </c>
      <c r="F28" s="2" t="s">
        <v>119</v>
      </c>
      <c r="G28" s="2" t="s">
        <v>94</v>
      </c>
      <c r="H28" s="2" t="s">
        <v>94</v>
      </c>
      <c r="I28" s="2" t="s">
        <v>16</v>
      </c>
      <c r="J28" s="3">
        <v>44974</v>
      </c>
    </row>
    <row r="29" spans="1:10" x14ac:dyDescent="0.25">
      <c r="A29" s="2" t="s">
        <v>120</v>
      </c>
      <c r="B29" s="2" t="s">
        <v>121</v>
      </c>
      <c r="C29" s="2" t="s">
        <v>39</v>
      </c>
      <c r="D29" s="3">
        <v>35285</v>
      </c>
      <c r="E29" s="2">
        <v>1223416165</v>
      </c>
      <c r="F29" s="2" t="s">
        <v>122</v>
      </c>
      <c r="G29" s="2" t="s">
        <v>25</v>
      </c>
      <c r="H29" s="2" t="s">
        <v>26</v>
      </c>
      <c r="I29" s="2" t="s">
        <v>27</v>
      </c>
      <c r="J29" s="3">
        <v>44816</v>
      </c>
    </row>
    <row r="30" spans="1:10" x14ac:dyDescent="0.25">
      <c r="A30" s="2" t="s">
        <v>123</v>
      </c>
      <c r="B30" s="2" t="s">
        <v>124</v>
      </c>
      <c r="C30" s="2" t="s">
        <v>12</v>
      </c>
      <c r="D30" s="3">
        <v>28759</v>
      </c>
      <c r="E30" s="2">
        <v>1167096991</v>
      </c>
      <c r="F30" s="2"/>
      <c r="G30" s="2" t="s">
        <v>59</v>
      </c>
      <c r="H30" s="2" t="s">
        <v>51</v>
      </c>
      <c r="I30" s="2" t="s">
        <v>16</v>
      </c>
      <c r="J30" s="3">
        <v>45132</v>
      </c>
    </row>
    <row r="31" spans="1:10" x14ac:dyDescent="0.25">
      <c r="A31" s="2" t="s">
        <v>125</v>
      </c>
      <c r="B31" s="2" t="s">
        <v>126</v>
      </c>
      <c r="C31" s="2" t="s">
        <v>54</v>
      </c>
      <c r="D31" s="3">
        <v>28380</v>
      </c>
      <c r="E31" s="2">
        <v>1216614286</v>
      </c>
      <c r="F31" s="2" t="s">
        <v>127</v>
      </c>
      <c r="G31" s="2" t="s">
        <v>25</v>
      </c>
      <c r="H31" s="2" t="s">
        <v>26</v>
      </c>
      <c r="I31" s="2" t="s">
        <v>55</v>
      </c>
      <c r="J31" s="3">
        <v>44585</v>
      </c>
    </row>
    <row r="32" spans="1:10" x14ac:dyDescent="0.25">
      <c r="A32" s="2" t="s">
        <v>128</v>
      </c>
      <c r="B32" s="2" t="s">
        <v>129</v>
      </c>
      <c r="C32" s="2" t="s">
        <v>54</v>
      </c>
      <c r="D32" s="3">
        <v>30201</v>
      </c>
      <c r="E32" s="2">
        <v>1214344197</v>
      </c>
      <c r="F32" s="2"/>
      <c r="G32" s="2" t="s">
        <v>41</v>
      </c>
      <c r="H32" s="2" t="s">
        <v>26</v>
      </c>
      <c r="I32" s="2" t="s">
        <v>16</v>
      </c>
      <c r="J32" s="3">
        <v>44928</v>
      </c>
    </row>
    <row r="33" spans="1:10" x14ac:dyDescent="0.25">
      <c r="A33" s="2" t="s">
        <v>130</v>
      </c>
      <c r="B33" s="2" t="s">
        <v>131</v>
      </c>
      <c r="C33" s="2" t="s">
        <v>132</v>
      </c>
      <c r="D33" s="3">
        <v>34344</v>
      </c>
      <c r="E33" s="2">
        <v>1046060709</v>
      </c>
      <c r="F33" s="2" t="s">
        <v>133</v>
      </c>
      <c r="G33" s="2" t="s">
        <v>25</v>
      </c>
      <c r="H33" s="2" t="s">
        <v>26</v>
      </c>
      <c r="I33" s="2" t="s">
        <v>27</v>
      </c>
      <c r="J33" s="3">
        <v>44243</v>
      </c>
    </row>
    <row r="34" spans="1:10" x14ac:dyDescent="0.25">
      <c r="A34" s="2" t="s">
        <v>134</v>
      </c>
      <c r="B34" s="2" t="s">
        <v>135</v>
      </c>
      <c r="C34" s="2" t="s">
        <v>12</v>
      </c>
      <c r="D34" s="3">
        <v>37096</v>
      </c>
      <c r="E34" s="2">
        <v>1143524010</v>
      </c>
      <c r="F34" s="2" t="s">
        <v>136</v>
      </c>
      <c r="G34" s="2" t="s">
        <v>137</v>
      </c>
      <c r="H34" s="2" t="s">
        <v>138</v>
      </c>
      <c r="I34" s="2" t="s">
        <v>16</v>
      </c>
      <c r="J34" s="3">
        <v>44240</v>
      </c>
    </row>
    <row r="35" spans="1:10" x14ac:dyDescent="0.25">
      <c r="A35" s="2" t="s">
        <v>139</v>
      </c>
      <c r="B35" s="2" t="s">
        <v>140</v>
      </c>
      <c r="C35" s="2" t="s">
        <v>54</v>
      </c>
      <c r="D35" s="3">
        <v>32591</v>
      </c>
      <c r="E35" s="2">
        <v>1228177418</v>
      </c>
      <c r="F35" s="2" t="s">
        <v>141</v>
      </c>
      <c r="G35" s="2" t="s">
        <v>25</v>
      </c>
      <c r="H35" s="2" t="s">
        <v>26</v>
      </c>
      <c r="I35" s="2" t="s">
        <v>27</v>
      </c>
      <c r="J35" s="3">
        <v>44297</v>
      </c>
    </row>
    <row r="36" spans="1:10" x14ac:dyDescent="0.25">
      <c r="A36" s="2" t="s">
        <v>142</v>
      </c>
      <c r="B36" s="2" t="s">
        <v>143</v>
      </c>
      <c r="C36" s="2" t="s">
        <v>39</v>
      </c>
      <c r="D36" s="3">
        <v>28548</v>
      </c>
      <c r="E36" s="2">
        <v>1272850928</v>
      </c>
      <c r="F36" s="2" t="s">
        <v>144</v>
      </c>
      <c r="G36" s="2" t="s">
        <v>94</v>
      </c>
      <c r="H36" s="2" t="s">
        <v>94</v>
      </c>
      <c r="I36" s="2" t="s">
        <v>27</v>
      </c>
      <c r="J36" s="3">
        <v>44283</v>
      </c>
    </row>
    <row r="37" spans="1:10" x14ac:dyDescent="0.25">
      <c r="A37" s="2" t="s">
        <v>145</v>
      </c>
      <c r="B37" s="2" t="s">
        <v>146</v>
      </c>
      <c r="C37" s="2" t="s">
        <v>12</v>
      </c>
      <c r="D37" s="3">
        <v>36205</v>
      </c>
      <c r="E37" s="2">
        <v>1164024116</v>
      </c>
      <c r="F37" s="2"/>
      <c r="G37" s="2" t="s">
        <v>50</v>
      </c>
      <c r="H37" s="2" t="s">
        <v>51</v>
      </c>
      <c r="I37" s="2" t="s">
        <v>55</v>
      </c>
      <c r="J37" s="3">
        <v>43837</v>
      </c>
    </row>
    <row r="38" spans="1:10" x14ac:dyDescent="0.25">
      <c r="A38" s="2" t="s">
        <v>147</v>
      </c>
      <c r="B38" s="2" t="s">
        <v>148</v>
      </c>
      <c r="C38" s="2" t="s">
        <v>39</v>
      </c>
      <c r="D38" s="3">
        <v>28311</v>
      </c>
      <c r="E38" s="2">
        <v>1212906871</v>
      </c>
      <c r="F38" s="2" t="s">
        <v>149</v>
      </c>
      <c r="G38" s="2" t="s">
        <v>25</v>
      </c>
      <c r="H38" s="2" t="s">
        <v>26</v>
      </c>
      <c r="I38" s="2" t="s">
        <v>16</v>
      </c>
      <c r="J38" s="3">
        <v>45148</v>
      </c>
    </row>
    <row r="39" spans="1:10" x14ac:dyDescent="0.25">
      <c r="A39" s="2" t="s">
        <v>150</v>
      </c>
      <c r="B39" s="2" t="s">
        <v>151</v>
      </c>
      <c r="C39" s="2" t="s">
        <v>12</v>
      </c>
      <c r="D39" s="3">
        <v>33067</v>
      </c>
      <c r="E39" s="2">
        <v>1279641006</v>
      </c>
      <c r="F39" s="2" t="s">
        <v>152</v>
      </c>
      <c r="G39" s="2" t="s">
        <v>41</v>
      </c>
      <c r="H39" s="2" t="s">
        <v>26</v>
      </c>
      <c r="I39" s="2" t="s">
        <v>55</v>
      </c>
      <c r="J39" s="3">
        <v>44679</v>
      </c>
    </row>
    <row r="40" spans="1:10" x14ac:dyDescent="0.25">
      <c r="A40" s="2" t="s">
        <v>153</v>
      </c>
      <c r="B40" s="2" t="s">
        <v>154</v>
      </c>
      <c r="C40" s="2" t="s">
        <v>39</v>
      </c>
      <c r="D40" s="3">
        <v>33838</v>
      </c>
      <c r="E40" s="2">
        <v>1288709162</v>
      </c>
      <c r="F40" s="2" t="s">
        <v>155</v>
      </c>
      <c r="G40" s="2" t="s">
        <v>25</v>
      </c>
      <c r="H40" s="2" t="s">
        <v>26</v>
      </c>
      <c r="I40" s="2" t="s">
        <v>55</v>
      </c>
      <c r="J40" s="3">
        <v>44124</v>
      </c>
    </row>
    <row r="41" spans="1:10" x14ac:dyDescent="0.25">
      <c r="A41" s="2" t="s">
        <v>156</v>
      </c>
      <c r="B41" s="2" t="s">
        <v>157</v>
      </c>
      <c r="C41" s="2" t="s">
        <v>39</v>
      </c>
      <c r="D41" s="3">
        <v>32063</v>
      </c>
      <c r="E41" s="2">
        <v>1160605064</v>
      </c>
      <c r="F41" s="2" t="s">
        <v>158</v>
      </c>
      <c r="G41" s="2" t="s">
        <v>41</v>
      </c>
      <c r="H41" s="2" t="s">
        <v>26</v>
      </c>
      <c r="I41" s="2" t="s">
        <v>16</v>
      </c>
      <c r="J41" s="3">
        <v>45050</v>
      </c>
    </row>
    <row r="42" spans="1:10" x14ac:dyDescent="0.25">
      <c r="A42" s="2" t="s">
        <v>159</v>
      </c>
      <c r="B42" s="2" t="s">
        <v>160</v>
      </c>
      <c r="C42" s="2" t="s">
        <v>39</v>
      </c>
      <c r="D42" s="3">
        <v>32168</v>
      </c>
      <c r="E42" s="2">
        <v>1259175761</v>
      </c>
      <c r="F42" s="2" t="s">
        <v>161</v>
      </c>
      <c r="G42" s="2" t="s">
        <v>41</v>
      </c>
      <c r="H42" s="2" t="s">
        <v>26</v>
      </c>
      <c r="I42" s="2" t="s">
        <v>55</v>
      </c>
      <c r="J42" s="3">
        <v>45133</v>
      </c>
    </row>
    <row r="43" spans="1:10" x14ac:dyDescent="0.25">
      <c r="A43" s="2" t="s">
        <v>162</v>
      </c>
      <c r="B43" s="2" t="s">
        <v>163</v>
      </c>
      <c r="C43" s="2" t="s">
        <v>132</v>
      </c>
      <c r="D43" s="3">
        <v>28076</v>
      </c>
      <c r="E43" s="2">
        <v>1112423190</v>
      </c>
      <c r="F43" s="2" t="s">
        <v>164</v>
      </c>
      <c r="G43" s="2" t="s">
        <v>25</v>
      </c>
      <c r="H43" s="2" t="s">
        <v>26</v>
      </c>
      <c r="I43" s="2" t="s">
        <v>16</v>
      </c>
      <c r="J43" s="3">
        <v>44700</v>
      </c>
    </row>
    <row r="44" spans="1:10" x14ac:dyDescent="0.25">
      <c r="A44" s="2" t="s">
        <v>165</v>
      </c>
      <c r="B44" s="2" t="s">
        <v>166</v>
      </c>
      <c r="C44" s="2" t="s">
        <v>39</v>
      </c>
      <c r="D44" s="3">
        <v>32722</v>
      </c>
      <c r="E44" s="2">
        <v>1210626224</v>
      </c>
      <c r="F44" s="2" t="s">
        <v>167</v>
      </c>
      <c r="G44" s="2" t="s">
        <v>94</v>
      </c>
      <c r="H44" s="2" t="s">
        <v>94</v>
      </c>
      <c r="I44" s="2" t="s">
        <v>16</v>
      </c>
      <c r="J44" s="3">
        <v>43844</v>
      </c>
    </row>
    <row r="45" spans="1:10" x14ac:dyDescent="0.25">
      <c r="A45" s="2" t="s">
        <v>168</v>
      </c>
      <c r="B45" s="2" t="s">
        <v>169</v>
      </c>
      <c r="C45" s="2" t="s">
        <v>12</v>
      </c>
      <c r="D45" s="3">
        <v>30133</v>
      </c>
      <c r="E45" s="2">
        <v>1178042648</v>
      </c>
      <c r="F45" s="2" t="s">
        <v>170</v>
      </c>
      <c r="G45" s="2" t="s">
        <v>25</v>
      </c>
      <c r="H45" s="2" t="s">
        <v>26</v>
      </c>
      <c r="I45" s="2" t="s">
        <v>27</v>
      </c>
      <c r="J45" s="3">
        <v>44099</v>
      </c>
    </row>
    <row r="46" spans="1:10" x14ac:dyDescent="0.25">
      <c r="A46" s="2" t="s">
        <v>171</v>
      </c>
      <c r="B46" s="2" t="s">
        <v>172</v>
      </c>
      <c r="C46" s="2" t="s">
        <v>100</v>
      </c>
      <c r="D46" s="3">
        <v>28349</v>
      </c>
      <c r="E46" s="2">
        <v>1193356597</v>
      </c>
      <c r="F46" s="2" t="s">
        <v>173</v>
      </c>
      <c r="G46" s="2" t="s">
        <v>137</v>
      </c>
      <c r="H46" s="2" t="s">
        <v>138</v>
      </c>
      <c r="I46" s="2" t="s">
        <v>16</v>
      </c>
      <c r="J46" s="3">
        <v>44946</v>
      </c>
    </row>
    <row r="47" spans="1:10" x14ac:dyDescent="0.25">
      <c r="A47" s="2" t="s">
        <v>174</v>
      </c>
      <c r="B47" s="2" t="s">
        <v>175</v>
      </c>
      <c r="C47" s="2" t="s">
        <v>39</v>
      </c>
      <c r="D47" s="3">
        <v>34821</v>
      </c>
      <c r="E47" s="2">
        <v>1078043121</v>
      </c>
      <c r="F47" s="2" t="s">
        <v>176</v>
      </c>
      <c r="G47" s="2" t="s">
        <v>14</v>
      </c>
      <c r="H47" s="2" t="s">
        <v>15</v>
      </c>
      <c r="I47" s="2" t="s">
        <v>27</v>
      </c>
      <c r="J47" s="3">
        <v>44445</v>
      </c>
    </row>
    <row r="48" spans="1:10" x14ac:dyDescent="0.25">
      <c r="A48" s="2" t="s">
        <v>177</v>
      </c>
      <c r="B48" s="2" t="s">
        <v>178</v>
      </c>
      <c r="C48" s="2" t="s">
        <v>39</v>
      </c>
      <c r="D48" s="3">
        <v>29231</v>
      </c>
      <c r="E48" s="2">
        <v>1039732676</v>
      </c>
      <c r="F48" s="2" t="s">
        <v>179</v>
      </c>
      <c r="G48" s="2" t="s">
        <v>25</v>
      </c>
      <c r="H48" s="2" t="s">
        <v>26</v>
      </c>
      <c r="I48" s="2" t="s">
        <v>16</v>
      </c>
      <c r="J48" s="3">
        <v>45153</v>
      </c>
    </row>
    <row r="49" spans="1:10" x14ac:dyDescent="0.25">
      <c r="A49" s="2" t="s">
        <v>180</v>
      </c>
      <c r="B49" s="2" t="s">
        <v>181</v>
      </c>
      <c r="C49" s="2" t="s">
        <v>12</v>
      </c>
      <c r="D49" s="3">
        <v>35143</v>
      </c>
      <c r="E49" s="2">
        <v>1073604365</v>
      </c>
      <c r="F49" s="2"/>
      <c r="G49" s="2" t="s">
        <v>94</v>
      </c>
      <c r="H49" s="2" t="s">
        <v>94</v>
      </c>
      <c r="I49" s="2" t="s">
        <v>55</v>
      </c>
      <c r="J49" s="3">
        <v>43928</v>
      </c>
    </row>
    <row r="50" spans="1:10" x14ac:dyDescent="0.25">
      <c r="A50" s="2" t="s">
        <v>182</v>
      </c>
      <c r="B50" s="2" t="s">
        <v>183</v>
      </c>
      <c r="C50" s="2" t="s">
        <v>39</v>
      </c>
      <c r="D50" s="3">
        <v>28496</v>
      </c>
      <c r="E50" s="2">
        <v>1115247808</v>
      </c>
      <c r="F50" s="2" t="s">
        <v>184</v>
      </c>
      <c r="G50" s="2" t="s">
        <v>62</v>
      </c>
      <c r="H50" s="2" t="s">
        <v>15</v>
      </c>
      <c r="I50" s="2" t="s">
        <v>27</v>
      </c>
      <c r="J50" s="3">
        <v>44153</v>
      </c>
    </row>
    <row r="51" spans="1:10" x14ac:dyDescent="0.25">
      <c r="A51" s="2" t="s">
        <v>185</v>
      </c>
      <c r="B51" s="2" t="s">
        <v>186</v>
      </c>
      <c r="C51" s="2" t="s">
        <v>39</v>
      </c>
      <c r="D51" s="3">
        <v>34223</v>
      </c>
      <c r="E51" s="2">
        <v>1146337178</v>
      </c>
      <c r="F51" s="2" t="s">
        <v>187</v>
      </c>
      <c r="G51" s="2" t="s">
        <v>14</v>
      </c>
      <c r="H51" s="2" t="s">
        <v>15</v>
      </c>
      <c r="I51" s="2" t="s">
        <v>27</v>
      </c>
      <c r="J51" s="3">
        <v>44387</v>
      </c>
    </row>
    <row r="52" spans="1:10" x14ac:dyDescent="0.25">
      <c r="A52" s="2" t="s">
        <v>188</v>
      </c>
      <c r="B52" s="2" t="s">
        <v>189</v>
      </c>
      <c r="C52" s="2" t="s">
        <v>12</v>
      </c>
      <c r="D52" s="3">
        <v>29876</v>
      </c>
      <c r="E52" s="2">
        <v>1099277799</v>
      </c>
      <c r="F52" s="2" t="s">
        <v>190</v>
      </c>
      <c r="G52" s="2" t="s">
        <v>41</v>
      </c>
      <c r="H52" s="2" t="s">
        <v>26</v>
      </c>
      <c r="I52" s="2" t="s">
        <v>16</v>
      </c>
      <c r="J52" s="3">
        <v>45263</v>
      </c>
    </row>
    <row r="53" spans="1:10" x14ac:dyDescent="0.25">
      <c r="A53" s="2" t="s">
        <v>191</v>
      </c>
      <c r="B53" s="2" t="s">
        <v>192</v>
      </c>
      <c r="C53" s="2" t="s">
        <v>39</v>
      </c>
      <c r="D53" s="3">
        <v>36545</v>
      </c>
      <c r="E53" s="2">
        <v>1085204135</v>
      </c>
      <c r="F53" s="2"/>
      <c r="G53" s="2" t="s">
        <v>41</v>
      </c>
      <c r="H53" s="2" t="s">
        <v>26</v>
      </c>
      <c r="I53" s="2" t="s">
        <v>16</v>
      </c>
      <c r="J53" s="3">
        <v>44504</v>
      </c>
    </row>
    <row r="54" spans="1:10" x14ac:dyDescent="0.25">
      <c r="A54" s="2" t="s">
        <v>193</v>
      </c>
      <c r="B54" s="2" t="s">
        <v>194</v>
      </c>
      <c r="C54" s="2" t="s">
        <v>39</v>
      </c>
      <c r="D54" s="3">
        <v>31959</v>
      </c>
      <c r="E54" s="2">
        <v>1024212949</v>
      </c>
      <c r="F54" s="2" t="s">
        <v>195</v>
      </c>
      <c r="G54" s="2" t="s">
        <v>94</v>
      </c>
      <c r="H54" s="2" t="s">
        <v>94</v>
      </c>
      <c r="I54" s="2" t="s">
        <v>55</v>
      </c>
      <c r="J54" s="3">
        <v>44675</v>
      </c>
    </row>
    <row r="55" spans="1:10" x14ac:dyDescent="0.25">
      <c r="A55" s="2" t="s">
        <v>196</v>
      </c>
      <c r="B55" s="2" t="s">
        <v>197</v>
      </c>
      <c r="C55" s="2" t="s">
        <v>12</v>
      </c>
      <c r="D55" s="3">
        <v>29211</v>
      </c>
      <c r="E55" s="2">
        <v>1021503440</v>
      </c>
      <c r="F55" s="2" t="s">
        <v>198</v>
      </c>
      <c r="G55" s="2" t="s">
        <v>137</v>
      </c>
      <c r="H55" s="2" t="s">
        <v>138</v>
      </c>
      <c r="I55" s="2" t="s">
        <v>75</v>
      </c>
      <c r="J55" s="3">
        <v>45183</v>
      </c>
    </row>
    <row r="56" spans="1:10" x14ac:dyDescent="0.25">
      <c r="A56" s="2" t="s">
        <v>199</v>
      </c>
      <c r="B56" s="2" t="s">
        <v>200</v>
      </c>
      <c r="C56" s="2" t="s">
        <v>39</v>
      </c>
      <c r="D56" s="3">
        <v>27230</v>
      </c>
      <c r="E56" s="2">
        <v>1292199318</v>
      </c>
      <c r="F56" s="2" t="s">
        <v>201</v>
      </c>
      <c r="G56" s="2" t="s">
        <v>50</v>
      </c>
      <c r="H56" s="2" t="s">
        <v>51</v>
      </c>
      <c r="I56" s="2" t="s">
        <v>55</v>
      </c>
      <c r="J56" s="3">
        <v>43846</v>
      </c>
    </row>
    <row r="57" spans="1:10" x14ac:dyDescent="0.25">
      <c r="A57" s="2" t="s">
        <v>202</v>
      </c>
      <c r="B57" s="2" t="s">
        <v>203</v>
      </c>
      <c r="C57" s="2" t="s">
        <v>12</v>
      </c>
      <c r="D57" s="3"/>
      <c r="E57" s="2">
        <v>1189602636</v>
      </c>
      <c r="F57" s="2" t="s">
        <v>204</v>
      </c>
      <c r="G57" s="2" t="s">
        <v>94</v>
      </c>
      <c r="H57" s="2" t="s">
        <v>94</v>
      </c>
      <c r="I57" s="2" t="s">
        <v>75</v>
      </c>
      <c r="J57" s="3">
        <v>44765</v>
      </c>
    </row>
    <row r="58" spans="1:10" x14ac:dyDescent="0.25">
      <c r="A58" s="2" t="s">
        <v>205</v>
      </c>
      <c r="B58" s="2" t="s">
        <v>206</v>
      </c>
      <c r="C58" s="2" t="s">
        <v>39</v>
      </c>
      <c r="D58" s="3">
        <v>28406</v>
      </c>
      <c r="E58" s="2">
        <v>1220713289</v>
      </c>
      <c r="F58" s="2" t="s">
        <v>207</v>
      </c>
      <c r="G58" s="2" t="s">
        <v>116</v>
      </c>
      <c r="H58" s="2" t="s">
        <v>20</v>
      </c>
      <c r="I58" s="2" t="s">
        <v>16</v>
      </c>
      <c r="J58" s="3">
        <v>44528</v>
      </c>
    </row>
    <row r="59" spans="1:10" x14ac:dyDescent="0.25">
      <c r="A59" s="2" t="s">
        <v>208</v>
      </c>
      <c r="B59" s="2" t="s">
        <v>209</v>
      </c>
      <c r="C59" s="2" t="s">
        <v>54</v>
      </c>
      <c r="D59" s="3">
        <v>31918</v>
      </c>
      <c r="E59" s="2">
        <v>1297438349</v>
      </c>
      <c r="F59" s="2" t="s">
        <v>210</v>
      </c>
      <c r="G59" s="2" t="s">
        <v>25</v>
      </c>
      <c r="H59" s="2" t="s">
        <v>26</v>
      </c>
      <c r="I59" s="2" t="s">
        <v>55</v>
      </c>
      <c r="J59" s="3">
        <v>44870</v>
      </c>
    </row>
    <row r="60" spans="1:10" x14ac:dyDescent="0.25">
      <c r="A60" s="2" t="s">
        <v>211</v>
      </c>
      <c r="B60" s="2" t="s">
        <v>212</v>
      </c>
      <c r="C60" s="2" t="s">
        <v>12</v>
      </c>
      <c r="D60" s="3">
        <v>35315</v>
      </c>
      <c r="E60" s="2">
        <v>1184351399</v>
      </c>
      <c r="F60" s="2" t="s">
        <v>213</v>
      </c>
      <c r="G60" s="2" t="s">
        <v>41</v>
      </c>
      <c r="H60" s="2" t="s">
        <v>26</v>
      </c>
      <c r="I60" s="2" t="s">
        <v>16</v>
      </c>
      <c r="J60" s="3">
        <v>44943</v>
      </c>
    </row>
    <row r="61" spans="1:10" x14ac:dyDescent="0.25">
      <c r="A61" s="2" t="s">
        <v>214</v>
      </c>
      <c r="B61" s="2" t="s">
        <v>215</v>
      </c>
      <c r="C61" s="2" t="s">
        <v>12</v>
      </c>
      <c r="D61" s="3">
        <v>27756</v>
      </c>
      <c r="E61" s="2">
        <v>1150176369</v>
      </c>
      <c r="F61" s="2" t="s">
        <v>216</v>
      </c>
      <c r="G61" s="2" t="s">
        <v>41</v>
      </c>
      <c r="H61" s="2" t="s">
        <v>26</v>
      </c>
      <c r="I61" s="2" t="s">
        <v>55</v>
      </c>
      <c r="J61" s="3">
        <v>45105</v>
      </c>
    </row>
    <row r="62" spans="1:10" x14ac:dyDescent="0.25">
      <c r="A62" s="2" t="s">
        <v>217</v>
      </c>
      <c r="B62" s="2" t="s">
        <v>218</v>
      </c>
      <c r="C62" s="2" t="s">
        <v>12</v>
      </c>
      <c r="D62" s="3">
        <v>29598</v>
      </c>
      <c r="E62" s="2">
        <v>1286884584</v>
      </c>
      <c r="F62" s="2"/>
      <c r="G62" s="2" t="s">
        <v>41</v>
      </c>
      <c r="H62" s="2" t="s">
        <v>26</v>
      </c>
      <c r="I62" s="2" t="s">
        <v>55</v>
      </c>
      <c r="J62" s="3">
        <v>44842</v>
      </c>
    </row>
    <row r="63" spans="1:10" x14ac:dyDescent="0.25">
      <c r="A63" s="2" t="s">
        <v>219</v>
      </c>
      <c r="B63" s="2" t="s">
        <v>220</v>
      </c>
      <c r="C63" s="2" t="s">
        <v>54</v>
      </c>
      <c r="D63" s="3">
        <v>29646</v>
      </c>
      <c r="E63" s="2">
        <v>1129465805</v>
      </c>
      <c r="F63" s="2" t="s">
        <v>221</v>
      </c>
      <c r="G63" s="2" t="s">
        <v>41</v>
      </c>
      <c r="H63" s="2" t="s">
        <v>26</v>
      </c>
      <c r="I63" s="2" t="s">
        <v>55</v>
      </c>
      <c r="J63" s="3">
        <v>44579</v>
      </c>
    </row>
    <row r="64" spans="1:10" x14ac:dyDescent="0.25">
      <c r="A64" s="2" t="s">
        <v>222</v>
      </c>
      <c r="B64" s="2" t="s">
        <v>223</v>
      </c>
      <c r="C64" s="2" t="s">
        <v>12</v>
      </c>
      <c r="D64" s="3">
        <v>34260</v>
      </c>
      <c r="E64" s="2">
        <v>1199072761</v>
      </c>
      <c r="F64" s="2" t="s">
        <v>224</v>
      </c>
      <c r="G64" s="2" t="s">
        <v>50</v>
      </c>
      <c r="H64" s="2" t="s">
        <v>51</v>
      </c>
      <c r="I64" s="2" t="s">
        <v>16</v>
      </c>
      <c r="J64" s="3">
        <v>44722</v>
      </c>
    </row>
    <row r="65" spans="1:10" x14ac:dyDescent="0.25">
      <c r="A65" s="2" t="s">
        <v>225</v>
      </c>
      <c r="B65" s="2" t="s">
        <v>226</v>
      </c>
      <c r="C65" s="2" t="s">
        <v>12</v>
      </c>
      <c r="D65" s="3">
        <v>27430</v>
      </c>
      <c r="E65" s="2">
        <v>1163770881</v>
      </c>
      <c r="F65" s="2" t="s">
        <v>227</v>
      </c>
      <c r="G65" s="2" t="s">
        <v>41</v>
      </c>
      <c r="H65" s="2" t="s">
        <v>26</v>
      </c>
      <c r="I65" s="2" t="s">
        <v>16</v>
      </c>
      <c r="J65" s="3">
        <v>44662</v>
      </c>
    </row>
    <row r="66" spans="1:10" x14ac:dyDescent="0.25">
      <c r="A66" s="2" t="s">
        <v>228</v>
      </c>
      <c r="B66" s="2" t="s">
        <v>229</v>
      </c>
      <c r="C66" s="2" t="s">
        <v>39</v>
      </c>
      <c r="D66" s="3">
        <v>35854</v>
      </c>
      <c r="E66" s="2">
        <v>1277166896</v>
      </c>
      <c r="F66" s="2" t="s">
        <v>230</v>
      </c>
      <c r="G66" s="2" t="s">
        <v>35</v>
      </c>
      <c r="H66" s="2" t="s">
        <v>20</v>
      </c>
      <c r="I66" s="2" t="s">
        <v>27</v>
      </c>
      <c r="J66" s="3">
        <v>44927</v>
      </c>
    </row>
    <row r="67" spans="1:10" x14ac:dyDescent="0.25">
      <c r="A67" s="2" t="s">
        <v>231</v>
      </c>
      <c r="B67" s="2" t="s">
        <v>232</v>
      </c>
      <c r="C67" s="2" t="s">
        <v>12</v>
      </c>
      <c r="D67" s="3">
        <v>34824</v>
      </c>
      <c r="E67" s="2">
        <v>1246193334</v>
      </c>
      <c r="F67" s="2" t="s">
        <v>233</v>
      </c>
      <c r="G67" s="2" t="s">
        <v>94</v>
      </c>
      <c r="H67" s="2" t="s">
        <v>94</v>
      </c>
      <c r="I67" s="2" t="s">
        <v>16</v>
      </c>
      <c r="J67" s="3">
        <v>44257</v>
      </c>
    </row>
    <row r="68" spans="1:10" x14ac:dyDescent="0.25">
      <c r="A68" s="2" t="s">
        <v>234</v>
      </c>
      <c r="B68" s="2" t="s">
        <v>235</v>
      </c>
      <c r="C68" s="2" t="s">
        <v>39</v>
      </c>
      <c r="D68" s="3">
        <v>29104</v>
      </c>
      <c r="E68" s="2">
        <v>1189868447</v>
      </c>
      <c r="F68" s="2" t="s">
        <v>236</v>
      </c>
      <c r="G68" s="2" t="s">
        <v>94</v>
      </c>
      <c r="H68" s="2" t="s">
        <v>94</v>
      </c>
      <c r="I68" s="2" t="s">
        <v>75</v>
      </c>
      <c r="J68" s="3">
        <v>44096</v>
      </c>
    </row>
    <row r="69" spans="1:10" x14ac:dyDescent="0.25">
      <c r="A69" s="2" t="s">
        <v>237</v>
      </c>
      <c r="B69" s="2" t="s">
        <v>238</v>
      </c>
      <c r="C69" s="2" t="s">
        <v>39</v>
      </c>
      <c r="D69" s="3">
        <v>32864</v>
      </c>
      <c r="E69" s="2">
        <v>1089625763</v>
      </c>
      <c r="F69" s="2" t="s">
        <v>239</v>
      </c>
      <c r="G69" s="2" t="s">
        <v>62</v>
      </c>
      <c r="H69" s="2" t="s">
        <v>15</v>
      </c>
      <c r="I69" s="2" t="s">
        <v>16</v>
      </c>
      <c r="J69" s="3">
        <v>44440</v>
      </c>
    </row>
    <row r="70" spans="1:10" x14ac:dyDescent="0.25">
      <c r="A70" s="2" t="s">
        <v>240</v>
      </c>
      <c r="B70" s="2" t="s">
        <v>241</v>
      </c>
      <c r="C70" s="2" t="s">
        <v>100</v>
      </c>
      <c r="D70" s="3">
        <v>31766</v>
      </c>
      <c r="E70" s="2">
        <v>1118659744</v>
      </c>
      <c r="F70" s="2" t="s">
        <v>242</v>
      </c>
      <c r="G70" s="2" t="s">
        <v>41</v>
      </c>
      <c r="H70" s="2" t="s">
        <v>26</v>
      </c>
      <c r="I70" s="2" t="s">
        <v>16</v>
      </c>
      <c r="J70" s="3">
        <v>45154</v>
      </c>
    </row>
    <row r="71" spans="1:10" x14ac:dyDescent="0.25">
      <c r="A71" s="2" t="s">
        <v>243</v>
      </c>
      <c r="B71" s="2" t="s">
        <v>244</v>
      </c>
      <c r="C71" s="2" t="s">
        <v>132</v>
      </c>
      <c r="D71" s="3">
        <v>31092</v>
      </c>
      <c r="E71" s="2">
        <v>1039737286</v>
      </c>
      <c r="F71" s="2" t="s">
        <v>245</v>
      </c>
      <c r="G71" s="2" t="s">
        <v>62</v>
      </c>
      <c r="H71" s="2" t="s">
        <v>15</v>
      </c>
      <c r="I71" s="2" t="s">
        <v>16</v>
      </c>
      <c r="J71" s="3">
        <v>45058</v>
      </c>
    </row>
    <row r="72" spans="1:10" x14ac:dyDescent="0.25">
      <c r="A72" s="2" t="s">
        <v>246</v>
      </c>
      <c r="B72" s="2" t="s">
        <v>247</v>
      </c>
      <c r="C72" s="2" t="s">
        <v>12</v>
      </c>
      <c r="D72" s="3"/>
      <c r="E72" s="2">
        <v>1082701326</v>
      </c>
      <c r="F72" s="2" t="s">
        <v>248</v>
      </c>
      <c r="G72" s="2" t="s">
        <v>25</v>
      </c>
      <c r="H72" s="2" t="s">
        <v>26</v>
      </c>
      <c r="I72" s="2" t="s">
        <v>27</v>
      </c>
      <c r="J72" s="3">
        <v>44793</v>
      </c>
    </row>
    <row r="73" spans="1:10" x14ac:dyDescent="0.25">
      <c r="A73" s="2" t="s">
        <v>249</v>
      </c>
      <c r="B73" s="2" t="s">
        <v>250</v>
      </c>
      <c r="C73" s="2" t="s">
        <v>12</v>
      </c>
      <c r="D73" s="3"/>
      <c r="E73" s="2">
        <v>1140198707</v>
      </c>
      <c r="F73" s="2" t="s">
        <v>251</v>
      </c>
      <c r="G73" s="2" t="s">
        <v>35</v>
      </c>
      <c r="H73" s="2" t="s">
        <v>20</v>
      </c>
      <c r="I73" s="2" t="s">
        <v>16</v>
      </c>
      <c r="J73" s="3">
        <v>44597</v>
      </c>
    </row>
    <row r="74" spans="1:10" x14ac:dyDescent="0.25">
      <c r="A74" s="2" t="s">
        <v>252</v>
      </c>
      <c r="B74" s="2" t="s">
        <v>253</v>
      </c>
      <c r="C74" s="2" t="s">
        <v>39</v>
      </c>
      <c r="D74" s="3">
        <v>29998</v>
      </c>
      <c r="E74" s="2">
        <v>1231347320</v>
      </c>
      <c r="F74" s="2" t="s">
        <v>254</v>
      </c>
      <c r="G74" s="2" t="s">
        <v>25</v>
      </c>
      <c r="H74" s="2" t="s">
        <v>26</v>
      </c>
      <c r="I74" s="2" t="s">
        <v>16</v>
      </c>
      <c r="J74" s="3">
        <v>45112</v>
      </c>
    </row>
    <row r="75" spans="1:10" x14ac:dyDescent="0.25">
      <c r="A75" s="2" t="s">
        <v>255</v>
      </c>
      <c r="B75" s="2" t="s">
        <v>256</v>
      </c>
      <c r="C75" s="2" t="s">
        <v>39</v>
      </c>
      <c r="D75" s="3">
        <v>36930</v>
      </c>
      <c r="E75" s="2">
        <v>1169880867</v>
      </c>
      <c r="F75" s="2" t="s">
        <v>257</v>
      </c>
      <c r="G75" s="2" t="s">
        <v>116</v>
      </c>
      <c r="H75" s="2" t="s">
        <v>20</v>
      </c>
      <c r="I75" s="2" t="s">
        <v>55</v>
      </c>
      <c r="J75" s="3">
        <v>44385</v>
      </c>
    </row>
    <row r="76" spans="1:10" x14ac:dyDescent="0.25">
      <c r="A76" s="2" t="s">
        <v>258</v>
      </c>
      <c r="B76" s="2" t="s">
        <v>259</v>
      </c>
      <c r="C76" s="2" t="s">
        <v>100</v>
      </c>
      <c r="D76" s="3">
        <v>30187</v>
      </c>
      <c r="E76" s="2">
        <v>1079946108</v>
      </c>
      <c r="F76" s="2" t="s">
        <v>260</v>
      </c>
      <c r="G76" s="2" t="s">
        <v>62</v>
      </c>
      <c r="H76" s="2" t="s">
        <v>15</v>
      </c>
      <c r="I76" s="2" t="s">
        <v>55</v>
      </c>
      <c r="J76" s="3">
        <v>44183</v>
      </c>
    </row>
    <row r="77" spans="1:10" x14ac:dyDescent="0.25">
      <c r="A77" s="2" t="s">
        <v>261</v>
      </c>
      <c r="B77" s="2" t="s">
        <v>262</v>
      </c>
      <c r="C77" s="2" t="s">
        <v>54</v>
      </c>
      <c r="D77" s="3">
        <v>33461</v>
      </c>
      <c r="E77" s="2">
        <v>1145280103</v>
      </c>
      <c r="F77" s="2" t="s">
        <v>263</v>
      </c>
      <c r="G77" s="2" t="s">
        <v>41</v>
      </c>
      <c r="H77" s="2" t="s">
        <v>26</v>
      </c>
      <c r="I77" s="2" t="s">
        <v>16</v>
      </c>
      <c r="J77" s="3">
        <v>43989</v>
      </c>
    </row>
    <row r="78" spans="1:10" x14ac:dyDescent="0.25">
      <c r="A78" s="2" t="s">
        <v>264</v>
      </c>
      <c r="B78" s="2" t="s">
        <v>265</v>
      </c>
      <c r="C78" s="2" t="s">
        <v>132</v>
      </c>
      <c r="D78" s="3">
        <v>32134</v>
      </c>
      <c r="E78" s="2">
        <v>1047158689</v>
      </c>
      <c r="F78" s="2" t="s">
        <v>266</v>
      </c>
      <c r="G78" s="2" t="s">
        <v>62</v>
      </c>
      <c r="H78" s="2" t="s">
        <v>15</v>
      </c>
      <c r="I78" s="2" t="s">
        <v>16</v>
      </c>
      <c r="J78" s="3">
        <v>44019</v>
      </c>
    </row>
    <row r="79" spans="1:10" x14ac:dyDescent="0.25">
      <c r="A79" s="2" t="s">
        <v>267</v>
      </c>
      <c r="B79" s="2" t="s">
        <v>268</v>
      </c>
      <c r="C79" s="2" t="s">
        <v>39</v>
      </c>
      <c r="D79" s="3">
        <v>37625</v>
      </c>
      <c r="E79" s="2">
        <v>1219554390</v>
      </c>
      <c r="F79" s="2" t="s">
        <v>269</v>
      </c>
      <c r="G79" s="2" t="s">
        <v>94</v>
      </c>
      <c r="H79" s="2" t="s">
        <v>94</v>
      </c>
      <c r="I79" s="2" t="s">
        <v>55</v>
      </c>
      <c r="J79" s="3">
        <v>45253</v>
      </c>
    </row>
    <row r="80" spans="1:10" x14ac:dyDescent="0.25">
      <c r="A80" s="2" t="s">
        <v>270</v>
      </c>
      <c r="B80" s="2" t="s">
        <v>271</v>
      </c>
      <c r="C80" s="2" t="s">
        <v>12</v>
      </c>
      <c r="D80" s="3">
        <v>27998</v>
      </c>
      <c r="E80" s="2">
        <v>1296912383</v>
      </c>
      <c r="F80" s="2" t="s">
        <v>272</v>
      </c>
      <c r="G80" s="2" t="s">
        <v>41</v>
      </c>
      <c r="H80" s="2" t="s">
        <v>26</v>
      </c>
      <c r="I80" s="2" t="s">
        <v>55</v>
      </c>
      <c r="J80" s="3">
        <v>44725</v>
      </c>
    </row>
    <row r="81" spans="1:10" x14ac:dyDescent="0.25">
      <c r="A81" s="2" t="s">
        <v>273</v>
      </c>
      <c r="B81" s="2" t="s">
        <v>274</v>
      </c>
      <c r="C81" s="2" t="s">
        <v>54</v>
      </c>
      <c r="D81" s="3"/>
      <c r="E81" s="2">
        <v>1193079615</v>
      </c>
      <c r="F81" s="2" t="s">
        <v>275</v>
      </c>
      <c r="G81" s="2" t="s">
        <v>137</v>
      </c>
      <c r="H81" s="2" t="s">
        <v>138</v>
      </c>
      <c r="I81" s="2" t="s">
        <v>27</v>
      </c>
      <c r="J81" s="3">
        <v>43987</v>
      </c>
    </row>
    <row r="82" spans="1:10" x14ac:dyDescent="0.25">
      <c r="A82" s="2" t="s">
        <v>276</v>
      </c>
      <c r="B82" s="2" t="s">
        <v>277</v>
      </c>
      <c r="C82" s="2" t="s">
        <v>100</v>
      </c>
      <c r="D82" s="3">
        <v>34900</v>
      </c>
      <c r="E82" s="2">
        <v>1090607170</v>
      </c>
      <c r="F82" s="2" t="s">
        <v>278</v>
      </c>
      <c r="G82" s="2" t="s">
        <v>116</v>
      </c>
      <c r="H82" s="2" t="s">
        <v>20</v>
      </c>
      <c r="I82" s="2" t="s">
        <v>16</v>
      </c>
      <c r="J82" s="3">
        <v>44460</v>
      </c>
    </row>
    <row r="83" spans="1:10" x14ac:dyDescent="0.25">
      <c r="A83" s="2" t="s">
        <v>279</v>
      </c>
      <c r="B83" s="2" t="s">
        <v>280</v>
      </c>
      <c r="C83" s="2" t="s">
        <v>12</v>
      </c>
      <c r="D83" s="3"/>
      <c r="E83" s="2">
        <v>1161218112</v>
      </c>
      <c r="F83" s="2" t="s">
        <v>281</v>
      </c>
      <c r="G83" s="2" t="s">
        <v>116</v>
      </c>
      <c r="H83" s="2" t="s">
        <v>20</v>
      </c>
      <c r="I83" s="2" t="s">
        <v>16</v>
      </c>
      <c r="J83" s="3">
        <v>44304</v>
      </c>
    </row>
    <row r="84" spans="1:10" x14ac:dyDescent="0.25">
      <c r="A84" s="2" t="s">
        <v>282</v>
      </c>
      <c r="B84" s="2" t="s">
        <v>283</v>
      </c>
      <c r="C84" s="2" t="s">
        <v>39</v>
      </c>
      <c r="D84" s="3">
        <v>35081</v>
      </c>
      <c r="E84" s="2">
        <v>1279478250</v>
      </c>
      <c r="F84" s="2"/>
      <c r="G84" s="2" t="s">
        <v>25</v>
      </c>
      <c r="H84" s="2" t="s">
        <v>26</v>
      </c>
      <c r="I84" s="2" t="s">
        <v>16</v>
      </c>
      <c r="J84" s="3">
        <v>43842</v>
      </c>
    </row>
    <row r="85" spans="1:10" x14ac:dyDescent="0.25">
      <c r="A85" s="2" t="s">
        <v>284</v>
      </c>
      <c r="B85" s="2" t="s">
        <v>285</v>
      </c>
      <c r="C85" s="2" t="s">
        <v>12</v>
      </c>
      <c r="D85" s="3">
        <v>31861</v>
      </c>
      <c r="E85" s="2">
        <v>1236326944</v>
      </c>
      <c r="F85" s="2" t="s">
        <v>286</v>
      </c>
      <c r="G85" s="2" t="s">
        <v>66</v>
      </c>
      <c r="H85" s="2" t="s">
        <v>15</v>
      </c>
      <c r="I85" s="2" t="s">
        <v>55</v>
      </c>
      <c r="J85" s="3">
        <v>44702</v>
      </c>
    </row>
    <row r="86" spans="1:10" x14ac:dyDescent="0.25">
      <c r="A86" s="2" t="s">
        <v>287</v>
      </c>
      <c r="B86" s="2" t="s">
        <v>288</v>
      </c>
      <c r="C86" s="2" t="s">
        <v>12</v>
      </c>
      <c r="D86" s="3">
        <v>33071</v>
      </c>
      <c r="E86" s="2">
        <v>1291780371</v>
      </c>
      <c r="F86" s="2" t="s">
        <v>289</v>
      </c>
      <c r="G86" s="2" t="s">
        <v>116</v>
      </c>
      <c r="H86" s="2" t="s">
        <v>20</v>
      </c>
      <c r="I86" s="2" t="s">
        <v>27</v>
      </c>
      <c r="J86" s="3">
        <v>45139</v>
      </c>
    </row>
    <row r="87" spans="1:10" x14ac:dyDescent="0.25">
      <c r="A87" s="2" t="s">
        <v>290</v>
      </c>
      <c r="B87" s="2" t="s">
        <v>181</v>
      </c>
      <c r="C87" s="2" t="s">
        <v>12</v>
      </c>
      <c r="D87" s="3">
        <v>35190</v>
      </c>
      <c r="E87" s="2">
        <v>1111416778</v>
      </c>
      <c r="F87" s="2" t="s">
        <v>291</v>
      </c>
      <c r="G87" s="2" t="s">
        <v>66</v>
      </c>
      <c r="H87" s="2" t="s">
        <v>15</v>
      </c>
      <c r="I87" s="2" t="s">
        <v>16</v>
      </c>
      <c r="J87" s="3">
        <v>45148</v>
      </c>
    </row>
    <row r="88" spans="1:10" x14ac:dyDescent="0.25">
      <c r="A88" s="2" t="s">
        <v>292</v>
      </c>
      <c r="B88" s="2" t="s">
        <v>293</v>
      </c>
      <c r="C88" s="2" t="s">
        <v>12</v>
      </c>
      <c r="D88" s="3">
        <v>26201</v>
      </c>
      <c r="E88" s="2">
        <v>1137531916</v>
      </c>
      <c r="F88" s="2" t="s">
        <v>294</v>
      </c>
      <c r="G88" s="2" t="s">
        <v>25</v>
      </c>
      <c r="H88" s="2" t="s">
        <v>26</v>
      </c>
      <c r="I88" s="2" t="s">
        <v>16</v>
      </c>
      <c r="J88" s="3">
        <v>45189</v>
      </c>
    </row>
    <row r="89" spans="1:10" x14ac:dyDescent="0.25">
      <c r="A89" s="2" t="s">
        <v>295</v>
      </c>
      <c r="B89" s="2" t="s">
        <v>296</v>
      </c>
      <c r="C89" s="2" t="s">
        <v>12</v>
      </c>
      <c r="D89" s="3">
        <v>26515</v>
      </c>
      <c r="E89" s="2">
        <v>1135670862</v>
      </c>
      <c r="F89" s="2" t="s">
        <v>297</v>
      </c>
      <c r="G89" s="2" t="s">
        <v>25</v>
      </c>
      <c r="H89" s="2" t="s">
        <v>26</v>
      </c>
      <c r="I89" s="2" t="s">
        <v>55</v>
      </c>
      <c r="J89" s="3">
        <v>43943</v>
      </c>
    </row>
    <row r="90" spans="1:10" x14ac:dyDescent="0.25">
      <c r="A90" s="2" t="s">
        <v>298</v>
      </c>
      <c r="B90" s="2" t="s">
        <v>299</v>
      </c>
      <c r="C90" s="2" t="s">
        <v>12</v>
      </c>
      <c r="D90" s="3">
        <v>29842</v>
      </c>
      <c r="E90" s="2">
        <v>1255300210</v>
      </c>
      <c r="F90" s="2" t="s">
        <v>300</v>
      </c>
      <c r="G90" s="2" t="s">
        <v>41</v>
      </c>
      <c r="H90" s="2" t="s">
        <v>26</v>
      </c>
      <c r="I90" s="2" t="s">
        <v>55</v>
      </c>
      <c r="J90" s="3">
        <v>44767</v>
      </c>
    </row>
    <row r="91" spans="1:10" x14ac:dyDescent="0.25">
      <c r="A91" s="2" t="s">
        <v>301</v>
      </c>
      <c r="B91" s="2" t="s">
        <v>302</v>
      </c>
      <c r="C91" s="2" t="s">
        <v>39</v>
      </c>
      <c r="D91" s="3"/>
      <c r="E91" s="2">
        <v>1029278938</v>
      </c>
      <c r="F91" s="2" t="s">
        <v>303</v>
      </c>
      <c r="G91" s="2" t="s">
        <v>66</v>
      </c>
      <c r="H91" s="2" t="s">
        <v>15</v>
      </c>
      <c r="I91" s="2" t="s">
        <v>55</v>
      </c>
      <c r="J91" s="3">
        <v>43844</v>
      </c>
    </row>
    <row r="92" spans="1:10" x14ac:dyDescent="0.25">
      <c r="A92" s="2" t="s">
        <v>304</v>
      </c>
      <c r="B92" s="2" t="s">
        <v>305</v>
      </c>
      <c r="C92" s="2" t="s">
        <v>39</v>
      </c>
      <c r="D92" s="3"/>
      <c r="E92" s="2">
        <v>1291142579</v>
      </c>
      <c r="F92" s="2" t="s">
        <v>306</v>
      </c>
      <c r="G92" s="2" t="s">
        <v>19</v>
      </c>
      <c r="H92" s="2" t="s">
        <v>20</v>
      </c>
      <c r="I92" s="2" t="s">
        <v>27</v>
      </c>
      <c r="J92" s="3">
        <v>43935</v>
      </c>
    </row>
    <row r="93" spans="1:10" x14ac:dyDescent="0.25">
      <c r="A93" s="2" t="s">
        <v>307</v>
      </c>
      <c r="B93" s="2" t="s">
        <v>308</v>
      </c>
      <c r="C93" s="2" t="s">
        <v>12</v>
      </c>
      <c r="D93" s="3">
        <v>27721</v>
      </c>
      <c r="E93" s="2">
        <v>1273669065</v>
      </c>
      <c r="F93" s="2" t="s">
        <v>309</v>
      </c>
      <c r="G93" s="2" t="s">
        <v>116</v>
      </c>
      <c r="H93" s="2" t="s">
        <v>20</v>
      </c>
      <c r="I93" s="2" t="s">
        <v>16</v>
      </c>
      <c r="J93" s="3">
        <v>45233</v>
      </c>
    </row>
    <row r="94" spans="1:10" x14ac:dyDescent="0.25">
      <c r="A94" s="2" t="s">
        <v>310</v>
      </c>
      <c r="B94" s="2" t="s">
        <v>311</v>
      </c>
      <c r="C94" s="2" t="s">
        <v>54</v>
      </c>
      <c r="D94" s="3">
        <v>26857</v>
      </c>
      <c r="E94" s="2">
        <v>1069565923</v>
      </c>
      <c r="F94" s="2" t="s">
        <v>312</v>
      </c>
      <c r="G94" s="2" t="s">
        <v>35</v>
      </c>
      <c r="H94" s="2" t="s">
        <v>20</v>
      </c>
      <c r="I94" s="2" t="s">
        <v>16</v>
      </c>
      <c r="J94" s="3">
        <v>43958</v>
      </c>
    </row>
    <row r="95" spans="1:10" x14ac:dyDescent="0.25">
      <c r="A95" s="2" t="s">
        <v>313</v>
      </c>
      <c r="B95" s="2" t="s">
        <v>314</v>
      </c>
      <c r="C95" s="2" t="s">
        <v>12</v>
      </c>
      <c r="D95" s="3">
        <v>27687</v>
      </c>
      <c r="E95" s="2">
        <v>1042844845</v>
      </c>
      <c r="F95" s="2" t="s">
        <v>315</v>
      </c>
      <c r="G95" s="2" t="s">
        <v>116</v>
      </c>
      <c r="H95" s="2" t="s">
        <v>20</v>
      </c>
      <c r="I95" s="2" t="s">
        <v>55</v>
      </c>
      <c r="J95" s="3">
        <v>44257</v>
      </c>
    </row>
    <row r="96" spans="1:10" x14ac:dyDescent="0.25">
      <c r="A96" s="2" t="s">
        <v>316</v>
      </c>
      <c r="B96" s="2" t="s">
        <v>317</v>
      </c>
      <c r="C96" s="2" t="s">
        <v>39</v>
      </c>
      <c r="D96" s="3">
        <v>36590</v>
      </c>
      <c r="E96" s="2">
        <v>1114661179</v>
      </c>
      <c r="F96" s="2" t="s">
        <v>318</v>
      </c>
      <c r="G96" s="2" t="s">
        <v>66</v>
      </c>
      <c r="H96" s="2" t="s">
        <v>15</v>
      </c>
      <c r="I96" s="2" t="s">
        <v>27</v>
      </c>
      <c r="J96" s="3">
        <v>44049</v>
      </c>
    </row>
    <row r="97" spans="1:10" x14ac:dyDescent="0.25">
      <c r="A97" s="2" t="s">
        <v>319</v>
      </c>
      <c r="B97" s="2" t="s">
        <v>320</v>
      </c>
      <c r="C97" s="2" t="s">
        <v>12</v>
      </c>
      <c r="D97" s="3">
        <v>25653</v>
      </c>
      <c r="E97" s="2">
        <v>1183421108</v>
      </c>
      <c r="F97" s="2" t="s">
        <v>321</v>
      </c>
      <c r="G97" s="2" t="s">
        <v>137</v>
      </c>
      <c r="H97" s="2" t="s">
        <v>138</v>
      </c>
      <c r="I97" s="2" t="s">
        <v>16</v>
      </c>
      <c r="J97" s="3">
        <v>43911</v>
      </c>
    </row>
    <row r="98" spans="1:10" x14ac:dyDescent="0.25">
      <c r="A98" s="2" t="s">
        <v>322</v>
      </c>
      <c r="B98" s="2" t="s">
        <v>323</v>
      </c>
      <c r="C98" s="2" t="s">
        <v>39</v>
      </c>
      <c r="D98" s="3">
        <v>25889</v>
      </c>
      <c r="E98" s="2">
        <v>1134901990</v>
      </c>
      <c r="F98" s="2" t="s">
        <v>324</v>
      </c>
      <c r="G98" s="2" t="s">
        <v>25</v>
      </c>
      <c r="H98" s="2" t="s">
        <v>26</v>
      </c>
      <c r="I98" s="2" t="s">
        <v>55</v>
      </c>
      <c r="J98" s="3">
        <v>45033</v>
      </c>
    </row>
    <row r="99" spans="1:10" x14ac:dyDescent="0.25">
      <c r="A99" s="2" t="s">
        <v>325</v>
      </c>
      <c r="B99" s="2" t="s">
        <v>326</v>
      </c>
      <c r="C99" s="2" t="s">
        <v>12</v>
      </c>
      <c r="D99" s="3">
        <v>33366</v>
      </c>
      <c r="E99" s="2">
        <v>1073562365</v>
      </c>
      <c r="F99" s="2" t="s">
        <v>327</v>
      </c>
      <c r="G99" s="2" t="s">
        <v>19</v>
      </c>
      <c r="H99" s="2" t="s">
        <v>20</v>
      </c>
      <c r="I99" s="2" t="s">
        <v>16</v>
      </c>
      <c r="J99" s="3">
        <v>44978</v>
      </c>
    </row>
    <row r="100" spans="1:10" x14ac:dyDescent="0.25">
      <c r="A100" s="2" t="s">
        <v>328</v>
      </c>
      <c r="B100" s="2" t="s">
        <v>329</v>
      </c>
      <c r="C100" s="2" t="s">
        <v>12</v>
      </c>
      <c r="D100" s="3">
        <v>27855</v>
      </c>
      <c r="E100" s="2">
        <v>1239677351</v>
      </c>
      <c r="F100" s="2" t="s">
        <v>330</v>
      </c>
      <c r="G100" s="2" t="s">
        <v>25</v>
      </c>
      <c r="H100" s="2" t="s">
        <v>26</v>
      </c>
      <c r="I100" s="2" t="s">
        <v>16</v>
      </c>
      <c r="J100" s="3">
        <v>45141</v>
      </c>
    </row>
    <row r="101" spans="1:10" x14ac:dyDescent="0.25">
      <c r="A101" s="2" t="s">
        <v>331</v>
      </c>
      <c r="B101" s="2" t="s">
        <v>332</v>
      </c>
      <c r="C101" s="2" t="s">
        <v>39</v>
      </c>
      <c r="D101" s="3">
        <v>37476</v>
      </c>
      <c r="E101" s="2">
        <v>1046897895</v>
      </c>
      <c r="F101" s="2" t="s">
        <v>333</v>
      </c>
      <c r="G101" s="2" t="s">
        <v>50</v>
      </c>
      <c r="H101" s="2" t="s">
        <v>51</v>
      </c>
      <c r="I101" s="2" t="s">
        <v>16</v>
      </c>
      <c r="J101" s="3">
        <v>45268</v>
      </c>
    </row>
    <row r="102" spans="1:10" x14ac:dyDescent="0.25">
      <c r="A102" s="2" t="s">
        <v>334</v>
      </c>
      <c r="B102" s="2" t="s">
        <v>335</v>
      </c>
      <c r="C102" s="2" t="s">
        <v>54</v>
      </c>
      <c r="D102" s="3">
        <v>28139</v>
      </c>
      <c r="E102" s="2">
        <v>1126341998</v>
      </c>
      <c r="F102" s="2" t="s">
        <v>336</v>
      </c>
      <c r="G102" s="2" t="s">
        <v>94</v>
      </c>
      <c r="H102" s="2" t="s">
        <v>94</v>
      </c>
      <c r="I102" s="2" t="s">
        <v>16</v>
      </c>
      <c r="J102" s="3">
        <v>43955</v>
      </c>
    </row>
    <row r="103" spans="1:10" x14ac:dyDescent="0.25">
      <c r="A103" s="2" t="s">
        <v>337</v>
      </c>
      <c r="B103" s="2" t="s">
        <v>305</v>
      </c>
      <c r="C103" s="2" t="s">
        <v>39</v>
      </c>
      <c r="D103" s="3">
        <v>27957</v>
      </c>
      <c r="E103" s="2">
        <v>1284787394</v>
      </c>
      <c r="F103" s="2" t="s">
        <v>338</v>
      </c>
      <c r="G103" s="2" t="s">
        <v>94</v>
      </c>
      <c r="H103" s="2" t="s">
        <v>94</v>
      </c>
      <c r="I103" s="2" t="s">
        <v>16</v>
      </c>
      <c r="J103" s="3">
        <v>45235</v>
      </c>
    </row>
    <row r="104" spans="1:10" x14ac:dyDescent="0.25">
      <c r="A104" s="2" t="s">
        <v>339</v>
      </c>
      <c r="B104" s="2" t="s">
        <v>340</v>
      </c>
      <c r="C104" s="2" t="s">
        <v>12</v>
      </c>
      <c r="D104" s="3">
        <v>29970</v>
      </c>
      <c r="E104" s="2">
        <v>1154084020</v>
      </c>
      <c r="F104" s="2" t="s">
        <v>341</v>
      </c>
      <c r="G104" s="2" t="s">
        <v>41</v>
      </c>
      <c r="H104" s="2" t="s">
        <v>26</v>
      </c>
      <c r="I104" s="2" t="s">
        <v>55</v>
      </c>
      <c r="J104" s="3">
        <v>44144</v>
      </c>
    </row>
    <row r="105" spans="1:10" x14ac:dyDescent="0.25">
      <c r="A105" s="2" t="s">
        <v>342</v>
      </c>
      <c r="B105" s="2" t="s">
        <v>343</v>
      </c>
      <c r="C105" s="2" t="s">
        <v>12</v>
      </c>
      <c r="D105" s="3">
        <v>37606</v>
      </c>
      <c r="E105" s="2">
        <v>1189105321</v>
      </c>
      <c r="F105" s="2" t="s">
        <v>344</v>
      </c>
      <c r="G105" s="2" t="s">
        <v>25</v>
      </c>
      <c r="H105" s="2" t="s">
        <v>26</v>
      </c>
      <c r="I105" s="2" t="s">
        <v>16</v>
      </c>
      <c r="J105" s="3">
        <v>44447</v>
      </c>
    </row>
    <row r="106" spans="1:10" x14ac:dyDescent="0.25">
      <c r="A106" s="2" t="s">
        <v>345</v>
      </c>
      <c r="B106" s="2" t="s">
        <v>346</v>
      </c>
      <c r="C106" s="2" t="s">
        <v>39</v>
      </c>
      <c r="D106" s="3">
        <v>28595</v>
      </c>
      <c r="E106" s="2">
        <v>1117890314</v>
      </c>
      <c r="F106" s="2" t="s">
        <v>347</v>
      </c>
      <c r="G106" s="2" t="s">
        <v>41</v>
      </c>
      <c r="H106" s="2" t="s">
        <v>26</v>
      </c>
      <c r="I106" s="2" t="s">
        <v>75</v>
      </c>
      <c r="J106" s="3">
        <v>45248</v>
      </c>
    </row>
    <row r="107" spans="1:10" x14ac:dyDescent="0.25">
      <c r="A107" s="2" t="s">
        <v>348</v>
      </c>
      <c r="B107" s="2" t="s">
        <v>349</v>
      </c>
      <c r="C107" s="2" t="s">
        <v>54</v>
      </c>
      <c r="D107" s="3">
        <v>37706</v>
      </c>
      <c r="E107" s="2">
        <v>1050393690</v>
      </c>
      <c r="F107" s="2" t="s">
        <v>350</v>
      </c>
      <c r="G107" s="2" t="s">
        <v>94</v>
      </c>
      <c r="H107" s="2" t="s">
        <v>94</v>
      </c>
      <c r="I107" s="2" t="s">
        <v>55</v>
      </c>
      <c r="J107" s="3">
        <v>44814</v>
      </c>
    </row>
    <row r="108" spans="1:10" x14ac:dyDescent="0.25">
      <c r="A108" s="2" t="s">
        <v>351</v>
      </c>
      <c r="B108" s="2" t="s">
        <v>352</v>
      </c>
      <c r="C108" s="2" t="s">
        <v>23</v>
      </c>
      <c r="D108" s="3">
        <v>30672</v>
      </c>
      <c r="E108" s="2">
        <v>1140694296</v>
      </c>
      <c r="F108" s="2" t="s">
        <v>353</v>
      </c>
      <c r="G108" s="2" t="s">
        <v>25</v>
      </c>
      <c r="H108" s="2" t="s">
        <v>26</v>
      </c>
      <c r="I108" s="2" t="s">
        <v>75</v>
      </c>
      <c r="J108" s="3">
        <v>44996</v>
      </c>
    </row>
    <row r="109" spans="1:10" x14ac:dyDescent="0.25">
      <c r="A109" s="2" t="s">
        <v>354</v>
      </c>
      <c r="B109" s="2" t="s">
        <v>355</v>
      </c>
      <c r="C109" s="2" t="s">
        <v>12</v>
      </c>
      <c r="D109" s="3">
        <v>27280</v>
      </c>
      <c r="E109" s="2">
        <v>1061596498</v>
      </c>
      <c r="F109" s="2" t="s">
        <v>356</v>
      </c>
      <c r="G109" s="2" t="s">
        <v>35</v>
      </c>
      <c r="H109" s="2" t="s">
        <v>20</v>
      </c>
      <c r="I109" s="2" t="s">
        <v>55</v>
      </c>
      <c r="J109" s="3">
        <v>44744</v>
      </c>
    </row>
    <row r="110" spans="1:10" x14ac:dyDescent="0.25">
      <c r="A110" s="2" t="s">
        <v>357</v>
      </c>
      <c r="B110" s="2" t="s">
        <v>358</v>
      </c>
      <c r="C110" s="2" t="s">
        <v>39</v>
      </c>
      <c r="D110" s="3">
        <v>28405</v>
      </c>
      <c r="E110" s="2">
        <v>1283233096</v>
      </c>
      <c r="F110" s="2" t="s">
        <v>359</v>
      </c>
      <c r="G110" s="2" t="s">
        <v>25</v>
      </c>
      <c r="H110" s="2" t="s">
        <v>26</v>
      </c>
      <c r="I110" s="2" t="s">
        <v>55</v>
      </c>
      <c r="J110" s="3">
        <v>45073</v>
      </c>
    </row>
    <row r="111" spans="1:10" x14ac:dyDescent="0.25">
      <c r="A111" s="2" t="s">
        <v>360</v>
      </c>
      <c r="B111" s="2" t="s">
        <v>361</v>
      </c>
      <c r="C111" s="2" t="s">
        <v>39</v>
      </c>
      <c r="D111" s="3">
        <v>30246</v>
      </c>
      <c r="E111" s="2">
        <v>1093364164</v>
      </c>
      <c r="F111" s="2" t="s">
        <v>362</v>
      </c>
      <c r="G111" s="2" t="s">
        <v>137</v>
      </c>
      <c r="H111" s="2" t="s">
        <v>138</v>
      </c>
      <c r="I111" s="2" t="s">
        <v>16</v>
      </c>
      <c r="J111" s="3">
        <v>44574</v>
      </c>
    </row>
    <row r="112" spans="1:10" x14ac:dyDescent="0.25">
      <c r="A112" s="2" t="s">
        <v>363</v>
      </c>
      <c r="B112" s="2" t="s">
        <v>364</v>
      </c>
      <c r="C112" s="2" t="s">
        <v>12</v>
      </c>
      <c r="D112" s="3">
        <v>31738</v>
      </c>
      <c r="E112" s="2">
        <v>1053254525</v>
      </c>
      <c r="F112" s="2"/>
      <c r="G112" s="2" t="s">
        <v>14</v>
      </c>
      <c r="H112" s="2" t="s">
        <v>15</v>
      </c>
      <c r="I112" s="2" t="s">
        <v>55</v>
      </c>
      <c r="J112" s="3">
        <v>45248</v>
      </c>
    </row>
    <row r="113" spans="1:10" x14ac:dyDescent="0.25">
      <c r="A113" s="2" t="s">
        <v>365</v>
      </c>
      <c r="B113" s="2" t="s">
        <v>366</v>
      </c>
      <c r="C113" s="2" t="s">
        <v>39</v>
      </c>
      <c r="D113" s="3">
        <v>32138</v>
      </c>
      <c r="E113" s="2">
        <v>1145353959</v>
      </c>
      <c r="F113" s="2" t="s">
        <v>367</v>
      </c>
      <c r="G113" s="2" t="s">
        <v>41</v>
      </c>
      <c r="H113" s="2" t="s">
        <v>26</v>
      </c>
      <c r="I113" s="2" t="s">
        <v>75</v>
      </c>
      <c r="J113" s="3">
        <v>43967</v>
      </c>
    </row>
    <row r="114" spans="1:10" x14ac:dyDescent="0.25">
      <c r="A114" s="2" t="s">
        <v>368</v>
      </c>
      <c r="B114" s="2" t="s">
        <v>369</v>
      </c>
      <c r="C114" s="2" t="s">
        <v>39</v>
      </c>
      <c r="D114" s="3">
        <v>30490</v>
      </c>
      <c r="E114" s="2">
        <v>1284036002</v>
      </c>
      <c r="F114" s="2" t="s">
        <v>370</v>
      </c>
      <c r="G114" s="2" t="s">
        <v>94</v>
      </c>
      <c r="H114" s="2" t="s">
        <v>94</v>
      </c>
      <c r="I114" s="2" t="s">
        <v>27</v>
      </c>
      <c r="J114" s="3">
        <v>45048</v>
      </c>
    </row>
    <row r="115" spans="1:10" x14ac:dyDescent="0.25">
      <c r="A115" s="2" t="s">
        <v>371</v>
      </c>
      <c r="B115" s="2" t="s">
        <v>372</v>
      </c>
      <c r="C115" s="2" t="s">
        <v>39</v>
      </c>
      <c r="D115" s="3">
        <v>33773</v>
      </c>
      <c r="E115" s="2">
        <v>1220610410</v>
      </c>
      <c r="F115" s="2" t="s">
        <v>373</v>
      </c>
      <c r="G115" s="2" t="s">
        <v>116</v>
      </c>
      <c r="H115" s="2" t="s">
        <v>20</v>
      </c>
      <c r="I115" s="2" t="s">
        <v>16</v>
      </c>
      <c r="J115" s="3">
        <v>45242</v>
      </c>
    </row>
    <row r="116" spans="1:10" x14ac:dyDescent="0.25">
      <c r="A116" s="2" t="s">
        <v>374</v>
      </c>
      <c r="B116" s="2" t="s">
        <v>375</v>
      </c>
      <c r="C116" s="2" t="s">
        <v>12</v>
      </c>
      <c r="D116" s="3">
        <v>34410</v>
      </c>
      <c r="E116" s="2">
        <v>1276643230</v>
      </c>
      <c r="F116" s="2" t="s">
        <v>376</v>
      </c>
      <c r="G116" s="2" t="s">
        <v>41</v>
      </c>
      <c r="H116" s="2" t="s">
        <v>26</v>
      </c>
      <c r="I116" s="2" t="s">
        <v>55</v>
      </c>
      <c r="J116" s="3">
        <v>44635</v>
      </c>
    </row>
    <row r="117" spans="1:10" x14ac:dyDescent="0.25">
      <c r="A117" s="2" t="s">
        <v>377</v>
      </c>
      <c r="B117" s="2" t="s">
        <v>378</v>
      </c>
      <c r="C117" s="2" t="s">
        <v>23</v>
      </c>
      <c r="D117" s="3">
        <v>36654</v>
      </c>
      <c r="E117" s="2">
        <v>1273724781</v>
      </c>
      <c r="F117" s="2" t="s">
        <v>379</v>
      </c>
      <c r="G117" s="2" t="s">
        <v>41</v>
      </c>
      <c r="H117" s="2" t="s">
        <v>26</v>
      </c>
      <c r="I117" s="2" t="s">
        <v>16</v>
      </c>
      <c r="J117" s="3">
        <v>44729</v>
      </c>
    </row>
    <row r="118" spans="1:10" x14ac:dyDescent="0.25">
      <c r="A118" s="2" t="s">
        <v>380</v>
      </c>
      <c r="B118" s="2" t="s">
        <v>381</v>
      </c>
      <c r="C118" s="2" t="s">
        <v>12</v>
      </c>
      <c r="D118" s="3">
        <v>30411</v>
      </c>
      <c r="E118" s="2">
        <v>1210378180</v>
      </c>
      <c r="F118" s="2"/>
      <c r="G118" s="2" t="s">
        <v>66</v>
      </c>
      <c r="H118" s="2" t="s">
        <v>15</v>
      </c>
      <c r="I118" s="2" t="s">
        <v>16</v>
      </c>
      <c r="J118" s="3">
        <v>43989</v>
      </c>
    </row>
    <row r="119" spans="1:10" x14ac:dyDescent="0.25">
      <c r="A119" s="2" t="s">
        <v>382</v>
      </c>
      <c r="B119" s="2" t="s">
        <v>383</v>
      </c>
      <c r="C119" s="2" t="s">
        <v>132</v>
      </c>
      <c r="D119" s="3">
        <v>29049</v>
      </c>
      <c r="E119" s="2">
        <v>1226501040</v>
      </c>
      <c r="F119" s="2" t="s">
        <v>384</v>
      </c>
      <c r="G119" s="2" t="s">
        <v>41</v>
      </c>
      <c r="H119" s="2" t="s">
        <v>26</v>
      </c>
      <c r="I119" s="2" t="s">
        <v>27</v>
      </c>
      <c r="J119" s="3">
        <v>43992</v>
      </c>
    </row>
    <row r="120" spans="1:10" x14ac:dyDescent="0.25">
      <c r="A120" s="2" t="s">
        <v>385</v>
      </c>
      <c r="B120" s="2" t="s">
        <v>386</v>
      </c>
      <c r="C120" s="2" t="s">
        <v>39</v>
      </c>
      <c r="D120" s="3">
        <v>35727</v>
      </c>
      <c r="E120" s="2">
        <v>1218037180</v>
      </c>
      <c r="F120" s="2" t="s">
        <v>387</v>
      </c>
      <c r="G120" s="2" t="s">
        <v>35</v>
      </c>
      <c r="H120" s="2" t="s">
        <v>20</v>
      </c>
      <c r="I120" s="2" t="s">
        <v>27</v>
      </c>
      <c r="J120" s="3">
        <v>45118</v>
      </c>
    </row>
    <row r="121" spans="1:10" x14ac:dyDescent="0.25">
      <c r="A121" s="2" t="s">
        <v>388</v>
      </c>
      <c r="B121" s="2" t="s">
        <v>389</v>
      </c>
      <c r="C121" s="2" t="s">
        <v>12</v>
      </c>
      <c r="D121" s="3">
        <v>37070</v>
      </c>
      <c r="E121" s="2">
        <v>1079680430</v>
      </c>
      <c r="F121" s="2" t="s">
        <v>390</v>
      </c>
      <c r="G121" s="2" t="s">
        <v>116</v>
      </c>
      <c r="H121" s="2" t="s">
        <v>20</v>
      </c>
      <c r="I121" s="2" t="s">
        <v>16</v>
      </c>
      <c r="J121" s="3">
        <v>44875</v>
      </c>
    </row>
    <row r="122" spans="1:10" x14ac:dyDescent="0.25">
      <c r="A122" s="2" t="s">
        <v>391</v>
      </c>
      <c r="B122" s="2" t="s">
        <v>392</v>
      </c>
      <c r="C122" s="2" t="s">
        <v>39</v>
      </c>
      <c r="D122" s="3"/>
      <c r="E122" s="2">
        <v>1190244451</v>
      </c>
      <c r="F122" s="2" t="s">
        <v>393</v>
      </c>
      <c r="G122" s="2" t="s">
        <v>116</v>
      </c>
      <c r="H122" s="2" t="s">
        <v>20</v>
      </c>
      <c r="I122" s="2" t="s">
        <v>55</v>
      </c>
      <c r="J122" s="3">
        <v>43914</v>
      </c>
    </row>
    <row r="123" spans="1:10" x14ac:dyDescent="0.25">
      <c r="A123" s="2" t="s">
        <v>394</v>
      </c>
      <c r="B123" s="2" t="s">
        <v>395</v>
      </c>
      <c r="C123" s="2" t="s">
        <v>132</v>
      </c>
      <c r="D123" s="3">
        <v>28821</v>
      </c>
      <c r="E123" s="2">
        <v>1120043577</v>
      </c>
      <c r="F123" s="2" t="s">
        <v>396</v>
      </c>
      <c r="G123" s="2" t="s">
        <v>41</v>
      </c>
      <c r="H123" s="2" t="s">
        <v>26</v>
      </c>
      <c r="I123" s="2" t="s">
        <v>27</v>
      </c>
      <c r="J123" s="3">
        <v>44765</v>
      </c>
    </row>
    <row r="124" spans="1:10" x14ac:dyDescent="0.25">
      <c r="A124" s="2" t="s">
        <v>397</v>
      </c>
      <c r="B124" s="2" t="s">
        <v>398</v>
      </c>
      <c r="C124" s="2" t="s">
        <v>132</v>
      </c>
      <c r="D124" s="3"/>
      <c r="E124" s="2">
        <v>1219560913</v>
      </c>
      <c r="F124" s="2" t="s">
        <v>399</v>
      </c>
      <c r="G124" s="2" t="s">
        <v>41</v>
      </c>
      <c r="H124" s="2" t="s">
        <v>26</v>
      </c>
      <c r="I124" s="2" t="s">
        <v>55</v>
      </c>
      <c r="J124" s="3">
        <v>44386</v>
      </c>
    </row>
    <row r="125" spans="1:10" x14ac:dyDescent="0.25">
      <c r="A125" s="2" t="s">
        <v>400</v>
      </c>
      <c r="B125" s="2" t="s">
        <v>401</v>
      </c>
      <c r="C125" s="2" t="s">
        <v>12</v>
      </c>
      <c r="D125" s="3">
        <v>37964</v>
      </c>
      <c r="E125" s="2">
        <v>1045500468</v>
      </c>
      <c r="F125" s="2" t="s">
        <v>402</v>
      </c>
      <c r="G125" s="2" t="s">
        <v>94</v>
      </c>
      <c r="H125" s="2" t="s">
        <v>94</v>
      </c>
      <c r="I125" s="2" t="s">
        <v>27</v>
      </c>
      <c r="J125" s="3">
        <v>44323</v>
      </c>
    </row>
    <row r="126" spans="1:10" x14ac:dyDescent="0.25">
      <c r="A126" s="2" t="s">
        <v>403</v>
      </c>
      <c r="B126" s="2" t="s">
        <v>404</v>
      </c>
      <c r="C126" s="2" t="s">
        <v>132</v>
      </c>
      <c r="D126" s="3">
        <v>35073</v>
      </c>
      <c r="E126" s="2">
        <v>1227030641</v>
      </c>
      <c r="F126" s="2" t="s">
        <v>405</v>
      </c>
      <c r="G126" s="2" t="s">
        <v>41</v>
      </c>
      <c r="H126" s="2" t="s">
        <v>26</v>
      </c>
      <c r="I126" s="2" t="s">
        <v>55</v>
      </c>
      <c r="J126" s="3">
        <v>45004</v>
      </c>
    </row>
    <row r="127" spans="1:10" x14ac:dyDescent="0.25">
      <c r="A127" s="2" t="s">
        <v>406</v>
      </c>
      <c r="B127" s="2" t="s">
        <v>407</v>
      </c>
      <c r="C127" s="2" t="s">
        <v>12</v>
      </c>
      <c r="D127" s="3">
        <v>33401</v>
      </c>
      <c r="E127" s="2">
        <v>1139319229</v>
      </c>
      <c r="F127" s="2" t="s">
        <v>408</v>
      </c>
      <c r="G127" s="2" t="s">
        <v>94</v>
      </c>
      <c r="H127" s="2" t="s">
        <v>94</v>
      </c>
      <c r="I127" s="2" t="s">
        <v>16</v>
      </c>
      <c r="J127" s="3">
        <v>44147</v>
      </c>
    </row>
    <row r="128" spans="1:10" x14ac:dyDescent="0.25">
      <c r="A128" s="2" t="s">
        <v>409</v>
      </c>
      <c r="B128" s="2" t="s">
        <v>410</v>
      </c>
      <c r="C128" s="2" t="s">
        <v>100</v>
      </c>
      <c r="D128" s="3">
        <v>27969</v>
      </c>
      <c r="E128" s="2">
        <v>1151971760</v>
      </c>
      <c r="F128" s="2" t="s">
        <v>411</v>
      </c>
      <c r="G128" s="2" t="s">
        <v>14</v>
      </c>
      <c r="H128" s="2" t="s">
        <v>15</v>
      </c>
      <c r="I128" s="2" t="s">
        <v>16</v>
      </c>
      <c r="J128" s="3">
        <v>43933</v>
      </c>
    </row>
    <row r="129" spans="1:10" x14ac:dyDescent="0.25">
      <c r="A129" s="2" t="s">
        <v>412</v>
      </c>
      <c r="B129" s="2" t="s">
        <v>413</v>
      </c>
      <c r="C129" s="2" t="s">
        <v>39</v>
      </c>
      <c r="D129" s="3">
        <v>31111</v>
      </c>
      <c r="E129" s="2">
        <v>1023228017</v>
      </c>
      <c r="F129" s="2" t="s">
        <v>414</v>
      </c>
      <c r="G129" s="2" t="s">
        <v>41</v>
      </c>
      <c r="H129" s="2" t="s">
        <v>26</v>
      </c>
      <c r="I129" s="2" t="s">
        <v>16</v>
      </c>
      <c r="J129" s="3">
        <v>44198</v>
      </c>
    </row>
    <row r="130" spans="1:10" x14ac:dyDescent="0.25">
      <c r="A130" s="2" t="s">
        <v>415</v>
      </c>
      <c r="B130" s="2" t="s">
        <v>416</v>
      </c>
      <c r="C130" s="2" t="s">
        <v>12</v>
      </c>
      <c r="D130" s="3"/>
      <c r="E130" s="2">
        <v>1036658273</v>
      </c>
      <c r="F130" s="2" t="s">
        <v>417</v>
      </c>
      <c r="G130" s="2" t="s">
        <v>41</v>
      </c>
      <c r="H130" s="2" t="s">
        <v>26</v>
      </c>
      <c r="I130" s="2" t="s">
        <v>16</v>
      </c>
      <c r="J130" s="3">
        <v>44816</v>
      </c>
    </row>
    <row r="131" spans="1:10" x14ac:dyDescent="0.25">
      <c r="A131" s="2" t="s">
        <v>418</v>
      </c>
      <c r="B131" s="2" t="s">
        <v>186</v>
      </c>
      <c r="C131" s="2" t="s">
        <v>39</v>
      </c>
      <c r="D131" s="3">
        <v>30991</v>
      </c>
      <c r="E131" s="2">
        <v>1033172968</v>
      </c>
      <c r="F131" s="2" t="s">
        <v>419</v>
      </c>
      <c r="G131" s="2" t="s">
        <v>116</v>
      </c>
      <c r="H131" s="2" t="s">
        <v>20</v>
      </c>
      <c r="I131" s="2" t="s">
        <v>27</v>
      </c>
      <c r="J131" s="3">
        <v>44349</v>
      </c>
    </row>
    <row r="132" spans="1:10" x14ac:dyDescent="0.25">
      <c r="A132" s="2" t="s">
        <v>420</v>
      </c>
      <c r="B132" s="2" t="s">
        <v>421</v>
      </c>
      <c r="C132" s="2" t="s">
        <v>12</v>
      </c>
      <c r="D132" s="3">
        <v>29898</v>
      </c>
      <c r="E132" s="2">
        <v>1063761226</v>
      </c>
      <c r="F132" s="2" t="s">
        <v>422</v>
      </c>
      <c r="G132" s="2" t="s">
        <v>41</v>
      </c>
      <c r="H132" s="2" t="s">
        <v>26</v>
      </c>
      <c r="I132" s="2" t="s">
        <v>27</v>
      </c>
      <c r="J132" s="3">
        <v>45103</v>
      </c>
    </row>
    <row r="133" spans="1:10" x14ac:dyDescent="0.25">
      <c r="A133" s="2" t="s">
        <v>423</v>
      </c>
      <c r="B133" s="2" t="s">
        <v>424</v>
      </c>
      <c r="C133" s="2" t="s">
        <v>12</v>
      </c>
      <c r="D133" s="3">
        <v>36609</v>
      </c>
      <c r="E133" s="2">
        <v>1144327434</v>
      </c>
      <c r="F133" s="2" t="s">
        <v>425</v>
      </c>
      <c r="G133" s="2" t="s">
        <v>25</v>
      </c>
      <c r="H133" s="2" t="s">
        <v>26</v>
      </c>
      <c r="I133" s="2" t="s">
        <v>16</v>
      </c>
      <c r="J133" s="3">
        <v>44626</v>
      </c>
    </row>
    <row r="134" spans="1:10" x14ac:dyDescent="0.25">
      <c r="A134" s="2" t="s">
        <v>426</v>
      </c>
      <c r="B134" s="2" t="s">
        <v>427</v>
      </c>
      <c r="C134" s="2" t="s">
        <v>23</v>
      </c>
      <c r="D134" s="3">
        <v>28948</v>
      </c>
      <c r="E134" s="2">
        <v>1261524781</v>
      </c>
      <c r="F134" s="2"/>
      <c r="G134" s="2" t="s">
        <v>116</v>
      </c>
      <c r="H134" s="2" t="s">
        <v>20</v>
      </c>
      <c r="I134" s="2" t="s">
        <v>55</v>
      </c>
      <c r="J134" s="3">
        <v>44300</v>
      </c>
    </row>
    <row r="135" spans="1:10" x14ac:dyDescent="0.25">
      <c r="A135" s="2" t="s">
        <v>428</v>
      </c>
      <c r="B135" s="2" t="s">
        <v>429</v>
      </c>
      <c r="C135" s="2" t="s">
        <v>12</v>
      </c>
      <c r="D135" s="3">
        <v>30353</v>
      </c>
      <c r="E135" s="2">
        <v>1289984645</v>
      </c>
      <c r="F135" s="2" t="s">
        <v>430</v>
      </c>
      <c r="G135" s="2" t="s">
        <v>25</v>
      </c>
      <c r="H135" s="2" t="s">
        <v>26</v>
      </c>
      <c r="I135" s="2" t="s">
        <v>55</v>
      </c>
      <c r="J135" s="3">
        <v>45041</v>
      </c>
    </row>
    <row r="136" spans="1:10" x14ac:dyDescent="0.25">
      <c r="A136" s="2" t="s">
        <v>431</v>
      </c>
      <c r="B136" s="2" t="s">
        <v>432</v>
      </c>
      <c r="C136" s="2" t="s">
        <v>39</v>
      </c>
      <c r="D136" s="3">
        <v>25652</v>
      </c>
      <c r="E136" s="2">
        <v>1229674854</v>
      </c>
      <c r="F136" s="2" t="s">
        <v>433</v>
      </c>
      <c r="G136" s="2" t="s">
        <v>41</v>
      </c>
      <c r="H136" s="2" t="s">
        <v>26</v>
      </c>
      <c r="I136" s="2" t="s">
        <v>75</v>
      </c>
      <c r="J136" s="3">
        <v>44118</v>
      </c>
    </row>
    <row r="137" spans="1:10" x14ac:dyDescent="0.25">
      <c r="A137" s="2" t="s">
        <v>434</v>
      </c>
      <c r="B137" s="2" t="s">
        <v>435</v>
      </c>
      <c r="C137" s="2" t="s">
        <v>39</v>
      </c>
      <c r="D137" s="3">
        <v>32574</v>
      </c>
      <c r="E137" s="2">
        <v>1166250794</v>
      </c>
      <c r="F137" s="2" t="s">
        <v>436</v>
      </c>
      <c r="G137" s="2" t="s">
        <v>137</v>
      </c>
      <c r="H137" s="2" t="s">
        <v>138</v>
      </c>
      <c r="I137" s="2" t="s">
        <v>55</v>
      </c>
      <c r="J137" s="3">
        <v>44944</v>
      </c>
    </row>
    <row r="138" spans="1:10" x14ac:dyDescent="0.25">
      <c r="A138" s="2" t="s">
        <v>437</v>
      </c>
      <c r="B138" s="2" t="s">
        <v>438</v>
      </c>
      <c r="C138" s="2" t="s">
        <v>12</v>
      </c>
      <c r="D138" s="3">
        <v>29260</v>
      </c>
      <c r="E138" s="2">
        <v>1094293030</v>
      </c>
      <c r="F138" s="2" t="s">
        <v>439</v>
      </c>
      <c r="G138" s="2" t="s">
        <v>14</v>
      </c>
      <c r="H138" s="2" t="s">
        <v>15</v>
      </c>
      <c r="I138" s="2" t="s">
        <v>16</v>
      </c>
      <c r="J138" s="3">
        <v>44679</v>
      </c>
    </row>
    <row r="139" spans="1:10" x14ac:dyDescent="0.25">
      <c r="A139" s="2" t="s">
        <v>440</v>
      </c>
      <c r="B139" s="2" t="s">
        <v>441</v>
      </c>
      <c r="C139" s="2" t="s">
        <v>12</v>
      </c>
      <c r="D139" s="3">
        <v>32116</v>
      </c>
      <c r="E139" s="2">
        <v>1089306711</v>
      </c>
      <c r="F139" s="2" t="s">
        <v>442</v>
      </c>
      <c r="G139" s="2" t="s">
        <v>25</v>
      </c>
      <c r="H139" s="2" t="s">
        <v>26</v>
      </c>
      <c r="I139" s="2" t="s">
        <v>16</v>
      </c>
      <c r="J139" s="3">
        <v>44658</v>
      </c>
    </row>
    <row r="140" spans="1:10" x14ac:dyDescent="0.25">
      <c r="A140" s="2" t="s">
        <v>443</v>
      </c>
      <c r="B140" s="2" t="s">
        <v>444</v>
      </c>
      <c r="C140" s="2" t="s">
        <v>132</v>
      </c>
      <c r="D140" s="3">
        <v>33944</v>
      </c>
      <c r="E140" s="2">
        <v>1170597233</v>
      </c>
      <c r="F140" s="2"/>
      <c r="G140" s="2" t="s">
        <v>116</v>
      </c>
      <c r="H140" s="2" t="s">
        <v>20</v>
      </c>
      <c r="I140" s="2" t="s">
        <v>16</v>
      </c>
      <c r="J140" s="3">
        <v>44973</v>
      </c>
    </row>
    <row r="141" spans="1:10" x14ac:dyDescent="0.25">
      <c r="A141" s="2" t="s">
        <v>445</v>
      </c>
      <c r="B141" s="2" t="s">
        <v>446</v>
      </c>
      <c r="C141" s="2" t="s">
        <v>54</v>
      </c>
      <c r="D141" s="3">
        <v>28962</v>
      </c>
      <c r="E141" s="2">
        <v>1139045233</v>
      </c>
      <c r="F141" s="2" t="s">
        <v>447</v>
      </c>
      <c r="G141" s="2" t="s">
        <v>25</v>
      </c>
      <c r="H141" s="2" t="s">
        <v>26</v>
      </c>
      <c r="I141" s="2" t="s">
        <v>55</v>
      </c>
      <c r="J141" s="3">
        <v>45203</v>
      </c>
    </row>
    <row r="142" spans="1:10" x14ac:dyDescent="0.25">
      <c r="A142" s="2" t="s">
        <v>448</v>
      </c>
      <c r="B142" s="2" t="s">
        <v>320</v>
      </c>
      <c r="C142" s="2" t="s">
        <v>54</v>
      </c>
      <c r="D142" s="3">
        <v>31447</v>
      </c>
      <c r="E142" s="2">
        <v>1287671828</v>
      </c>
      <c r="F142" s="2" t="s">
        <v>449</v>
      </c>
      <c r="G142" s="2" t="s">
        <v>137</v>
      </c>
      <c r="H142" s="2" t="s">
        <v>138</v>
      </c>
      <c r="I142" s="2" t="s">
        <v>27</v>
      </c>
      <c r="J142" s="3">
        <v>44141</v>
      </c>
    </row>
    <row r="143" spans="1:10" x14ac:dyDescent="0.25">
      <c r="A143" s="2" t="s">
        <v>450</v>
      </c>
      <c r="B143" s="2" t="s">
        <v>451</v>
      </c>
      <c r="C143" s="2" t="s">
        <v>12</v>
      </c>
      <c r="D143" s="3">
        <v>37849</v>
      </c>
      <c r="E143" s="2">
        <v>1159138081</v>
      </c>
      <c r="F143" s="2"/>
      <c r="G143" s="2" t="s">
        <v>116</v>
      </c>
      <c r="H143" s="2" t="s">
        <v>20</v>
      </c>
      <c r="I143" s="2" t="s">
        <v>16</v>
      </c>
      <c r="J143" s="3">
        <v>44608</v>
      </c>
    </row>
    <row r="144" spans="1:10" x14ac:dyDescent="0.25">
      <c r="A144" s="2" t="s">
        <v>452</v>
      </c>
      <c r="B144" s="2" t="s">
        <v>453</v>
      </c>
      <c r="C144" s="2" t="s">
        <v>39</v>
      </c>
      <c r="D144" s="3">
        <v>30475</v>
      </c>
      <c r="E144" s="2">
        <v>1028692391</v>
      </c>
      <c r="F144" s="2" t="s">
        <v>454</v>
      </c>
      <c r="G144" s="2" t="s">
        <v>59</v>
      </c>
      <c r="H144" s="2" t="s">
        <v>51</v>
      </c>
      <c r="I144" s="2" t="s">
        <v>27</v>
      </c>
      <c r="J144" s="3">
        <v>44428</v>
      </c>
    </row>
    <row r="145" spans="1:10" x14ac:dyDescent="0.25">
      <c r="A145" s="2" t="s">
        <v>455</v>
      </c>
      <c r="B145" s="2" t="s">
        <v>456</v>
      </c>
      <c r="C145" s="2" t="s">
        <v>12</v>
      </c>
      <c r="D145" s="3">
        <v>36657</v>
      </c>
      <c r="E145" s="2">
        <v>1250341681</v>
      </c>
      <c r="F145" s="2" t="s">
        <v>457</v>
      </c>
      <c r="G145" s="2" t="s">
        <v>137</v>
      </c>
      <c r="H145" s="2" t="s">
        <v>138</v>
      </c>
      <c r="I145" s="2" t="s">
        <v>16</v>
      </c>
      <c r="J145" s="3">
        <v>43908</v>
      </c>
    </row>
    <row r="146" spans="1:10" x14ac:dyDescent="0.25">
      <c r="A146" s="2" t="s">
        <v>458</v>
      </c>
      <c r="B146" s="2" t="s">
        <v>459</v>
      </c>
      <c r="C146" s="2" t="s">
        <v>39</v>
      </c>
      <c r="D146" s="3">
        <v>26524</v>
      </c>
      <c r="E146" s="2">
        <v>1280107942</v>
      </c>
      <c r="F146" s="2" t="s">
        <v>460</v>
      </c>
      <c r="G146" s="2" t="s">
        <v>41</v>
      </c>
      <c r="H146" s="2" t="s">
        <v>26</v>
      </c>
      <c r="I146" s="2" t="s">
        <v>55</v>
      </c>
      <c r="J146" s="3">
        <v>44930</v>
      </c>
    </row>
    <row r="147" spans="1:10" x14ac:dyDescent="0.25">
      <c r="A147" s="2" t="s">
        <v>461</v>
      </c>
      <c r="B147" s="2" t="s">
        <v>462</v>
      </c>
      <c r="C147" s="2" t="s">
        <v>100</v>
      </c>
      <c r="D147" s="3">
        <v>36899</v>
      </c>
      <c r="E147" s="2">
        <v>1048259629</v>
      </c>
      <c r="F147" s="2"/>
      <c r="G147" s="2" t="s">
        <v>25</v>
      </c>
      <c r="H147" s="2" t="s">
        <v>26</v>
      </c>
      <c r="I147" s="2" t="s">
        <v>16</v>
      </c>
      <c r="J147" s="3">
        <v>44722</v>
      </c>
    </row>
    <row r="148" spans="1:10" x14ac:dyDescent="0.25">
      <c r="A148" s="2" t="s">
        <v>463</v>
      </c>
      <c r="B148" s="2" t="s">
        <v>464</v>
      </c>
      <c r="C148" s="2" t="s">
        <v>12</v>
      </c>
      <c r="D148" s="3">
        <v>31445</v>
      </c>
      <c r="E148" s="2">
        <v>1072279029</v>
      </c>
      <c r="F148" s="2" t="s">
        <v>465</v>
      </c>
      <c r="G148" s="2" t="s">
        <v>14</v>
      </c>
      <c r="H148" s="2" t="s">
        <v>15</v>
      </c>
      <c r="I148" s="2" t="s">
        <v>16</v>
      </c>
      <c r="J148" s="3">
        <v>45253</v>
      </c>
    </row>
    <row r="149" spans="1:10" x14ac:dyDescent="0.25">
      <c r="A149" s="2" t="s">
        <v>466</v>
      </c>
      <c r="B149" s="2" t="s">
        <v>467</v>
      </c>
      <c r="C149" s="2" t="s">
        <v>12</v>
      </c>
      <c r="D149" s="3">
        <v>30048</v>
      </c>
      <c r="E149" s="2">
        <v>1049594225</v>
      </c>
      <c r="F149" s="2" t="s">
        <v>468</v>
      </c>
      <c r="G149" s="2" t="s">
        <v>41</v>
      </c>
      <c r="H149" s="2" t="s">
        <v>26</v>
      </c>
      <c r="I149" s="2" t="s">
        <v>27</v>
      </c>
      <c r="J149" s="3">
        <v>44890</v>
      </c>
    </row>
    <row r="150" spans="1:10" x14ac:dyDescent="0.25">
      <c r="A150" s="2" t="s">
        <v>469</v>
      </c>
      <c r="B150" s="2" t="s">
        <v>470</v>
      </c>
      <c r="C150" s="2" t="s">
        <v>132</v>
      </c>
      <c r="D150" s="3">
        <v>26193</v>
      </c>
      <c r="E150" s="2">
        <v>1039032170</v>
      </c>
      <c r="F150" s="2" t="s">
        <v>471</v>
      </c>
      <c r="G150" s="2" t="s">
        <v>94</v>
      </c>
      <c r="H150" s="2" t="s">
        <v>94</v>
      </c>
      <c r="I150" s="2" t="s">
        <v>16</v>
      </c>
      <c r="J150" s="3">
        <v>44325</v>
      </c>
    </row>
    <row r="151" spans="1:10" x14ac:dyDescent="0.25">
      <c r="A151" s="2" t="s">
        <v>472</v>
      </c>
      <c r="B151" s="2" t="s">
        <v>473</v>
      </c>
      <c r="C151" s="2" t="s">
        <v>39</v>
      </c>
      <c r="D151" s="3">
        <v>35691</v>
      </c>
      <c r="E151" s="2">
        <v>1266214824</v>
      </c>
      <c r="F151" s="2" t="s">
        <v>474</v>
      </c>
      <c r="G151" s="2" t="s">
        <v>41</v>
      </c>
      <c r="H151" s="2" t="s">
        <v>26</v>
      </c>
      <c r="I151" s="2" t="s">
        <v>27</v>
      </c>
      <c r="J151" s="3">
        <v>44828</v>
      </c>
    </row>
    <row r="152" spans="1:10" x14ac:dyDescent="0.25">
      <c r="A152" s="2" t="s">
        <v>98</v>
      </c>
      <c r="B152" s="2" t="s">
        <v>99</v>
      </c>
      <c r="C152" s="2" t="s">
        <v>100</v>
      </c>
      <c r="D152" s="3">
        <v>28252</v>
      </c>
      <c r="E152" s="2">
        <v>1095240437</v>
      </c>
      <c r="F152" s="2" t="s">
        <v>101</v>
      </c>
      <c r="G152" s="2" t="s">
        <v>41</v>
      </c>
      <c r="H152" s="2" t="s">
        <v>26</v>
      </c>
      <c r="I152" s="2" t="s">
        <v>16</v>
      </c>
      <c r="J152" s="3">
        <v>45177</v>
      </c>
    </row>
    <row r="153" spans="1:10" x14ac:dyDescent="0.25">
      <c r="A153" s="2" t="s">
        <v>102</v>
      </c>
      <c r="B153" s="2" t="s">
        <v>103</v>
      </c>
      <c r="C153" s="2" t="s">
        <v>12</v>
      </c>
      <c r="D153" s="3">
        <v>34985</v>
      </c>
      <c r="E153" s="2">
        <v>1225235645</v>
      </c>
      <c r="F153" s="2" t="s">
        <v>104</v>
      </c>
      <c r="G153" s="2" t="s">
        <v>41</v>
      </c>
      <c r="H153" s="2" t="s">
        <v>26</v>
      </c>
      <c r="I153" s="2" t="s">
        <v>16</v>
      </c>
      <c r="J153" s="3">
        <v>44627</v>
      </c>
    </row>
    <row r="154" spans="1:10" x14ac:dyDescent="0.25">
      <c r="A154" s="2" t="s">
        <v>105</v>
      </c>
      <c r="B154" s="2" t="s">
        <v>106</v>
      </c>
      <c r="C154" s="2" t="s">
        <v>12</v>
      </c>
      <c r="D154" s="3">
        <v>35454</v>
      </c>
      <c r="E154" s="2">
        <v>1258398175</v>
      </c>
      <c r="F154" s="2" t="s">
        <v>107</v>
      </c>
      <c r="G154" s="2" t="s">
        <v>41</v>
      </c>
      <c r="H154" s="2" t="s">
        <v>26</v>
      </c>
      <c r="I154" s="2" t="s">
        <v>16</v>
      </c>
      <c r="J154" s="3">
        <v>45063</v>
      </c>
    </row>
    <row r="155" spans="1:10" x14ac:dyDescent="0.25">
      <c r="A155" s="2" t="s">
        <v>108</v>
      </c>
      <c r="B155" s="2" t="s">
        <v>109</v>
      </c>
      <c r="C155" s="2" t="s">
        <v>39</v>
      </c>
      <c r="D155" s="3"/>
      <c r="E155" s="2">
        <v>1027978174</v>
      </c>
      <c r="F155" s="2" t="s">
        <v>110</v>
      </c>
      <c r="G155" s="2" t="s">
        <v>25</v>
      </c>
      <c r="H155" s="2" t="s">
        <v>26</v>
      </c>
      <c r="I155" s="2" t="s">
        <v>16</v>
      </c>
      <c r="J155" s="3">
        <v>43837</v>
      </c>
    </row>
    <row r="156" spans="1:10" x14ac:dyDescent="0.25">
      <c r="A156" s="2" t="s">
        <v>111</v>
      </c>
      <c r="B156" s="2" t="s">
        <v>112</v>
      </c>
      <c r="C156" s="2" t="s">
        <v>12</v>
      </c>
      <c r="D156" s="3">
        <v>32574</v>
      </c>
      <c r="E156" s="2">
        <v>1044810342</v>
      </c>
      <c r="F156" s="2"/>
      <c r="G156" s="2" t="s">
        <v>41</v>
      </c>
      <c r="H156" s="2" t="s">
        <v>26</v>
      </c>
      <c r="I156" s="2" t="s">
        <v>16</v>
      </c>
      <c r="J156" s="3">
        <v>44940</v>
      </c>
    </row>
    <row r="157" spans="1:10" x14ac:dyDescent="0.25">
      <c r="A157" s="2" t="s">
        <v>113</v>
      </c>
      <c r="B157" s="2" t="s">
        <v>114</v>
      </c>
      <c r="C157" s="2" t="s">
        <v>39</v>
      </c>
      <c r="D157" s="3">
        <v>29284</v>
      </c>
      <c r="E157" s="2">
        <v>1126675052</v>
      </c>
      <c r="F157" s="2" t="s">
        <v>115</v>
      </c>
      <c r="G157" s="2" t="s">
        <v>116</v>
      </c>
      <c r="H157" s="2" t="s">
        <v>20</v>
      </c>
      <c r="I157" s="2" t="s">
        <v>55</v>
      </c>
      <c r="J157" s="3">
        <v>44094</v>
      </c>
    </row>
    <row r="158" spans="1:10" x14ac:dyDescent="0.25">
      <c r="A158" s="2" t="s">
        <v>117</v>
      </c>
      <c r="B158" s="2" t="s">
        <v>118</v>
      </c>
      <c r="C158" s="2" t="s">
        <v>23</v>
      </c>
      <c r="D158" s="3">
        <v>35566</v>
      </c>
      <c r="E158" s="2">
        <v>1034772080</v>
      </c>
      <c r="F158" s="2" t="s">
        <v>119</v>
      </c>
      <c r="G158" s="2" t="s">
        <v>94</v>
      </c>
      <c r="H158" s="2" t="s">
        <v>94</v>
      </c>
      <c r="I158" s="2" t="s">
        <v>16</v>
      </c>
      <c r="J158" s="3">
        <v>44974</v>
      </c>
    </row>
    <row r="159" spans="1:10" x14ac:dyDescent="0.25">
      <c r="A159" s="2" t="s">
        <v>120</v>
      </c>
      <c r="B159" s="2" t="s">
        <v>121</v>
      </c>
      <c r="C159" s="2" t="s">
        <v>39</v>
      </c>
      <c r="D159" s="3">
        <v>35285</v>
      </c>
      <c r="E159" s="2">
        <v>1223416165</v>
      </c>
      <c r="F159" s="2" t="s">
        <v>122</v>
      </c>
      <c r="G159" s="2" t="s">
        <v>25</v>
      </c>
      <c r="H159" s="2" t="s">
        <v>26</v>
      </c>
      <c r="I159" s="2" t="s">
        <v>27</v>
      </c>
      <c r="J159" s="3">
        <v>44816</v>
      </c>
    </row>
    <row r="160" spans="1:10" x14ac:dyDescent="0.25">
      <c r="A160" s="2" t="s">
        <v>123</v>
      </c>
      <c r="B160" s="2" t="s">
        <v>124</v>
      </c>
      <c r="C160" s="2" t="s">
        <v>12</v>
      </c>
      <c r="D160" s="3">
        <v>28759</v>
      </c>
      <c r="E160" s="2">
        <v>1167096991</v>
      </c>
      <c r="F160" s="2"/>
      <c r="G160" s="2" t="s">
        <v>59</v>
      </c>
      <c r="H160" s="2" t="s">
        <v>51</v>
      </c>
      <c r="I160" s="2" t="s">
        <v>16</v>
      </c>
      <c r="J160" s="3">
        <v>45132</v>
      </c>
    </row>
    <row r="161" spans="1:10" x14ac:dyDescent="0.25">
      <c r="A161" s="2" t="s">
        <v>125</v>
      </c>
      <c r="B161" s="2" t="s">
        <v>126</v>
      </c>
      <c r="C161" s="2" t="s">
        <v>54</v>
      </c>
      <c r="D161" s="3">
        <v>28380</v>
      </c>
      <c r="E161" s="2">
        <v>1216614286</v>
      </c>
      <c r="F161" s="2" t="s">
        <v>127</v>
      </c>
      <c r="G161" s="2" t="s">
        <v>25</v>
      </c>
      <c r="H161" s="2" t="s">
        <v>26</v>
      </c>
      <c r="I161" s="2" t="s">
        <v>55</v>
      </c>
      <c r="J161" s="3">
        <v>44585</v>
      </c>
    </row>
    <row r="162" spans="1:10" x14ac:dyDescent="0.25">
      <c r="A162" s="2" t="s">
        <v>128</v>
      </c>
      <c r="B162" s="2" t="s">
        <v>475</v>
      </c>
      <c r="C162" s="2" t="s">
        <v>54</v>
      </c>
      <c r="D162" s="3">
        <v>30201</v>
      </c>
      <c r="E162" s="2">
        <v>1214344197</v>
      </c>
      <c r="F162" s="2"/>
      <c r="G162" s="2" t="s">
        <v>41</v>
      </c>
      <c r="H162" s="2" t="s">
        <v>26</v>
      </c>
      <c r="I162" s="2" t="s">
        <v>16</v>
      </c>
      <c r="J162" s="3">
        <v>44928</v>
      </c>
    </row>
    <row r="163" spans="1:10" x14ac:dyDescent="0.25">
      <c r="A163" s="2" t="s">
        <v>130</v>
      </c>
      <c r="B163" s="2" t="s">
        <v>476</v>
      </c>
      <c r="C163" s="2" t="s">
        <v>132</v>
      </c>
      <c r="D163" s="3">
        <v>34344</v>
      </c>
      <c r="E163" s="2">
        <v>1046060709</v>
      </c>
      <c r="F163" s="2" t="s">
        <v>133</v>
      </c>
      <c r="G163" s="2" t="s">
        <v>25</v>
      </c>
      <c r="H163" s="2" t="s">
        <v>26</v>
      </c>
      <c r="I163" s="2" t="s">
        <v>27</v>
      </c>
      <c r="J163" s="3">
        <v>44243</v>
      </c>
    </row>
    <row r="164" spans="1:10" x14ac:dyDescent="0.25">
      <c r="A164" s="2" t="s">
        <v>134</v>
      </c>
      <c r="B164" s="2" t="s">
        <v>477</v>
      </c>
      <c r="C164" s="2" t="s">
        <v>12</v>
      </c>
      <c r="D164" s="3">
        <v>37096</v>
      </c>
      <c r="E164" s="2">
        <v>1143524010</v>
      </c>
      <c r="F164" s="2" t="s">
        <v>136</v>
      </c>
      <c r="G164" s="2" t="s">
        <v>137</v>
      </c>
      <c r="H164" s="2" t="s">
        <v>138</v>
      </c>
      <c r="I164" s="2" t="s">
        <v>16</v>
      </c>
      <c r="J164" s="3">
        <v>44240</v>
      </c>
    </row>
    <row r="165" spans="1:10" x14ac:dyDescent="0.25">
      <c r="A165" s="2"/>
      <c r="B165" s="2" t="s">
        <v>140</v>
      </c>
      <c r="C165" s="2" t="s">
        <v>54</v>
      </c>
      <c r="D165" s="3">
        <v>32591</v>
      </c>
      <c r="E165" s="2">
        <v>1228177418</v>
      </c>
      <c r="F165" s="2" t="s">
        <v>141</v>
      </c>
      <c r="G165" s="2" t="s">
        <v>25</v>
      </c>
      <c r="H165" s="2" t="s">
        <v>26</v>
      </c>
      <c r="I165" s="2" t="s">
        <v>27</v>
      </c>
      <c r="J165" s="3">
        <v>44297</v>
      </c>
    </row>
    <row r="166" spans="1:10" x14ac:dyDescent="0.25">
      <c r="A166" s="2"/>
      <c r="B166" s="2" t="s">
        <v>143</v>
      </c>
      <c r="C166" s="2" t="s">
        <v>39</v>
      </c>
      <c r="D166" s="3">
        <v>28548</v>
      </c>
      <c r="E166" s="2">
        <v>1272850928</v>
      </c>
      <c r="F166" s="2" t="s">
        <v>144</v>
      </c>
      <c r="G166" s="2" t="s">
        <v>94</v>
      </c>
      <c r="H166" s="2" t="s">
        <v>94</v>
      </c>
      <c r="I166" s="2" t="s">
        <v>27</v>
      </c>
      <c r="J166" s="3">
        <v>44283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6"/>
  <sheetViews>
    <sheetView showGridLines="0" tabSelected="1" zoomScale="85" zoomScaleNormal="85" workbookViewId="0">
      <selection activeCell="A2" sqref="A2"/>
    </sheetView>
  </sheetViews>
  <sheetFormatPr defaultColWidth="8.5703125" defaultRowHeight="15" x14ac:dyDescent="0.25"/>
  <cols>
    <col min="1" max="1" width="13" customWidth="1"/>
    <col min="2" max="2" width="20" customWidth="1"/>
    <col min="3" max="3" width="18" customWidth="1"/>
    <col min="4" max="4" width="15" customWidth="1"/>
    <col min="5" max="5" width="19" customWidth="1"/>
    <col min="6" max="7" width="14" customWidth="1"/>
    <col min="8" max="8" width="13" customWidth="1"/>
    <col min="9" max="9" width="15" customWidth="1"/>
    <col min="10" max="10" width="21" customWidth="1"/>
    <col min="11" max="11" width="25" customWidth="1"/>
    <col min="12" max="12" width="15" customWidth="1"/>
    <col min="13" max="14" width="12" customWidth="1"/>
    <col min="15" max="15" width="14" customWidth="1"/>
    <col min="16" max="16" width="16" customWidth="1"/>
    <col min="17" max="17" width="26.5703125" customWidth="1"/>
    <col min="18" max="18" width="14" customWidth="1"/>
  </cols>
  <sheetData>
    <row r="1" spans="1:18" x14ac:dyDescent="0.25">
      <c r="A1" s="10" t="s">
        <v>478</v>
      </c>
      <c r="B1" s="10" t="s">
        <v>479</v>
      </c>
      <c r="C1" s="10" t="s">
        <v>480</v>
      </c>
      <c r="D1" s="10" t="s">
        <v>481</v>
      </c>
      <c r="E1" s="10" t="s">
        <v>482</v>
      </c>
      <c r="F1" s="10" t="s">
        <v>483</v>
      </c>
      <c r="G1" s="10" t="s">
        <v>484</v>
      </c>
      <c r="H1" s="10" t="s">
        <v>485</v>
      </c>
      <c r="I1" s="10" t="s">
        <v>486</v>
      </c>
      <c r="J1" s="10" t="s">
        <v>487</v>
      </c>
      <c r="K1" s="10" t="s">
        <v>488</v>
      </c>
      <c r="L1" s="10" t="s">
        <v>489</v>
      </c>
      <c r="M1" s="10" t="s">
        <v>490</v>
      </c>
      <c r="N1" s="10" t="s">
        <v>491</v>
      </c>
      <c r="O1" s="10" t="s">
        <v>492</v>
      </c>
      <c r="P1" s="10" t="s">
        <v>493</v>
      </c>
      <c r="Q1" s="10" t="s">
        <v>494</v>
      </c>
      <c r="R1" s="10" t="s">
        <v>495</v>
      </c>
    </row>
    <row r="2" spans="1:18" x14ac:dyDescent="0.25">
      <c r="A2" s="8">
        <f>ROW(Raw_Data!A2)</f>
        <v>2</v>
      </c>
      <c r="B2" s="8" t="str">
        <f>TRIM(CLEAN(Raw_Data!A2))</f>
        <v>CUS01518</v>
      </c>
      <c r="C2" s="8" t="str">
        <f>IF(TRIM(CLEAN(Raw_Data!B2))="","Not Provided",PROPER(TRIM(CLEAN(Raw_Data!B2))))</f>
        <v>Mohamed Mansour</v>
      </c>
      <c r="D2" s="8" t="str">
        <f>IF(OR(PROPER(TRIM(CLEAN(Raw_Data!C2)))="Male",PROPER(TRIM(CLEAN(Raw_Data!C2)))="Female"),PROPER(TRIM(CLEAN(Raw_Data!C2))),"Unknown")</f>
        <v>Male</v>
      </c>
      <c r="E2" s="11">
        <f>IF(ISNUMBER(Raw_Data!D2),Raw_Data!D2,IFERROR(DATEVALUE(Raw_Data!D2),""))</f>
        <v>29707</v>
      </c>
      <c r="F2" s="8" t="str">
        <f>IF(TRIM(CLEAN(Raw_Data!E2))="","Not Provided",TRIM(CLEAN(Raw_Data!E2)))</f>
        <v>1158132110</v>
      </c>
      <c r="G2" s="8" t="str">
        <f>IF(TRIM(CLEAN(Raw_Data!F2))="","Not Provided",LOWER(TRIM(CLEAN(Raw_Data!F2))))</f>
        <v>mohamed.mansour52@hotmail.com</v>
      </c>
      <c r="H2" s="8" t="str">
        <f>IF(TRIM(CLEAN(Raw_Data!G2))="","Not Provided",PROPER(TRIM(CLEAN(Raw_Data!G2))))</f>
        <v>Suez</v>
      </c>
      <c r="I2" s="8" t="str">
        <f>IF(TRIM(CLEAN(Raw_Data!H2))="","Not Provided",PROPER(TRIM(CLEAN(Raw_Data!H2))))</f>
        <v>Canal Zone</v>
      </c>
      <c r="J2" s="8" t="str">
        <f>IF(OR(PROPER(TRIM(CLEAN(Raw_Data!I2)))="Bronze",PROPER(TRIM(CLEAN(Raw_Data!I2)))="Silver",PROPER(TRIM(CLEAN(Raw_Data!I2)))="Gold"),PROPER(TRIM(CLEAN(Raw_Data!I2))),"Unknown")</f>
        <v>Bronze</v>
      </c>
      <c r="K2" s="11">
        <f>IF(ISNUMBER(Raw_Data!J2),Raw_Data!J2,IFERROR(DATEVALUE(Raw_Data!J2),""))</f>
        <v>44184</v>
      </c>
      <c r="L2" s="8" t="str">
        <f t="shared" ref="L2:L33" si="0">IFERROR(MID(G2,FIND("@",G2)+1,99),"")</f>
        <v>hotmail.com</v>
      </c>
      <c r="M2" s="8" t="str">
        <f t="shared" ref="M2:M33" si="1">LEFT(B2,3)</f>
        <v>CUS</v>
      </c>
      <c r="N2" s="8" t="str">
        <f t="shared" ref="N2:N33" si="2">IFERROR(MID(B2,4,10),"")</f>
        <v>01518</v>
      </c>
      <c r="O2" s="8" t="str">
        <f t="shared" ref="O2:O33" si="3">RIGHT(F2,4)</f>
        <v>2110</v>
      </c>
      <c r="P2" s="8" t="str">
        <f t="shared" ref="P2:P33" si="4">CONCATENATE(C2," - ",J2)</f>
        <v>Mohamed Mansour - Bronze</v>
      </c>
      <c r="Q2" s="12" t="str">
        <f>IF(B2="","Remove - missing ID",IF(OR(E2="",K2=""),"Remove - invalid date",IF(COUNTIF($B$2:B2,B2)&gt;1,"Remove - duplicate ID","Keep")))</f>
        <v>Keep</v>
      </c>
      <c r="R2" s="8" t="str">
        <f t="shared" ref="R2:R33" si="5">IF(Q2="Keep","Yes","No")</f>
        <v>Yes</v>
      </c>
    </row>
    <row r="3" spans="1:18" x14ac:dyDescent="0.25">
      <c r="A3" s="8">
        <f>ROW(Raw_Data!A3)</f>
        <v>3</v>
      </c>
      <c r="B3" s="8" t="str">
        <f>TRIM(CLEAN(Raw_Data!A3))</f>
        <v>CUS02370</v>
      </c>
      <c r="C3" s="8" t="str">
        <f>IF(TRIM(CLEAN(Raw_Data!B3))="","Not Provided",PROPER(TRIM(CLEAN(Raw_Data!B3))))</f>
        <v>Maged Lotfy</v>
      </c>
      <c r="D3" s="8" t="str">
        <f>IF(OR(PROPER(TRIM(CLEAN(Raw_Data!C3)))="Male",PROPER(TRIM(CLEAN(Raw_Data!C3)))="Female"),PROPER(TRIM(CLEAN(Raw_Data!C3))),"Unknown")</f>
        <v>Male</v>
      </c>
      <c r="E3" s="11">
        <f>IF(ISNUMBER(Raw_Data!D3),Raw_Data!D3,IFERROR(DATEVALUE(Raw_Data!D3),""))</f>
        <v>37721</v>
      </c>
      <c r="F3" s="8" t="str">
        <f>IF(TRIM(CLEAN(Raw_Data!E3))="","Not Provided",TRIM(CLEAN(Raw_Data!E3)))</f>
        <v>1281872177</v>
      </c>
      <c r="G3" s="8" t="str">
        <f>IF(TRIM(CLEAN(Raw_Data!F3))="","Not Provided",LOWER(TRIM(CLEAN(Raw_Data!F3))))</f>
        <v>Not Provided</v>
      </c>
      <c r="H3" s="8" t="str">
        <f>IF(TRIM(CLEAN(Raw_Data!G3))="","Not Provided",PROPER(TRIM(CLEAN(Raw_Data!G3))))</f>
        <v>Zagazig</v>
      </c>
      <c r="I3" s="8" t="str">
        <f>IF(TRIM(CLEAN(Raw_Data!H3))="","Not Provided",PROPER(TRIM(CLEAN(Raw_Data!H3))))</f>
        <v>Nile Delta</v>
      </c>
      <c r="J3" s="8" t="str">
        <f>IF(OR(PROPER(TRIM(CLEAN(Raw_Data!I3)))="Bronze",PROPER(TRIM(CLEAN(Raw_Data!I3)))="Silver",PROPER(TRIM(CLEAN(Raw_Data!I3)))="Gold"),PROPER(TRIM(CLEAN(Raw_Data!I3))),"Unknown")</f>
        <v>Bronze</v>
      </c>
      <c r="K3" s="11">
        <f>IF(ISNUMBER(Raw_Data!J3),Raw_Data!J3,IFERROR(DATEVALUE(Raw_Data!J3),""))</f>
        <v>44329</v>
      </c>
      <c r="L3" s="8" t="str">
        <f t="shared" si="0"/>
        <v/>
      </c>
      <c r="M3" s="8" t="str">
        <f t="shared" si="1"/>
        <v>CUS</v>
      </c>
      <c r="N3" s="8" t="str">
        <f t="shared" si="2"/>
        <v>02370</v>
      </c>
      <c r="O3" s="8" t="str">
        <f t="shared" si="3"/>
        <v>2177</v>
      </c>
      <c r="P3" s="8" t="str">
        <f t="shared" si="4"/>
        <v>Maged Lotfy - Bronze</v>
      </c>
      <c r="Q3" s="12" t="str">
        <f>IF(B3="","Remove - missing ID",IF(OR(E3="",K3=""),"Remove - invalid date",IF(COUNTIF($B$2:B3,B3)&gt;1,"Remove - duplicate ID","Keep")))</f>
        <v>Keep</v>
      </c>
      <c r="R3" s="8" t="str">
        <f t="shared" si="5"/>
        <v>Yes</v>
      </c>
    </row>
    <row r="4" spans="1:18" x14ac:dyDescent="0.25">
      <c r="A4" s="8">
        <f>ROW(Raw_Data!A4)</f>
        <v>4</v>
      </c>
      <c r="B4" s="8" t="str">
        <f>TRIM(CLEAN(Raw_Data!A4))</f>
        <v>CUS01962</v>
      </c>
      <c r="C4" s="8" t="str">
        <f>IF(TRIM(CLEAN(Raw_Data!B4))="","Not Provided",PROPER(TRIM(CLEAN(Raw_Data!B4))))</f>
        <v>Ahmed Hafez</v>
      </c>
      <c r="D4" s="8" t="str">
        <f>IF(OR(PROPER(TRIM(CLEAN(Raw_Data!C4)))="Male",PROPER(TRIM(CLEAN(Raw_Data!C4)))="Female"),PROPER(TRIM(CLEAN(Raw_Data!C4))),"Unknown")</f>
        <v>Male</v>
      </c>
      <c r="E4" s="11">
        <f>IF(ISNUMBER(Raw_Data!D4),Raw_Data!D4,IFERROR(DATEVALUE(Raw_Data!D4),""))</f>
        <v>26056</v>
      </c>
      <c r="F4" s="8" t="str">
        <f>IF(TRIM(CLEAN(Raw_Data!E4))="","Not Provided",TRIM(CLEAN(Raw_Data!E4)))</f>
        <v>1141856715</v>
      </c>
      <c r="G4" s="8" t="str">
        <f>IF(TRIM(CLEAN(Raw_Data!F4))="","Not Provided",LOWER(TRIM(CLEAN(Raw_Data!F4))))</f>
        <v>ahmed.hafez18@outlook.com</v>
      </c>
      <c r="H4" s="8" t="str">
        <f>IF(TRIM(CLEAN(Raw_Data!G4))="","Not Provided",PROPER(TRIM(CLEAN(Raw_Data!G4))))</f>
        <v>Giza</v>
      </c>
      <c r="I4" s="8" t="str">
        <f>IF(TRIM(CLEAN(Raw_Data!H4))="","Not Provided",PROPER(TRIM(CLEAN(Raw_Data!H4))))</f>
        <v>Greater Cairo</v>
      </c>
      <c r="J4" s="8" t="str">
        <f>IF(OR(PROPER(TRIM(CLEAN(Raw_Data!I4)))="Bronze",PROPER(TRIM(CLEAN(Raw_Data!I4)))="Silver",PROPER(TRIM(CLEAN(Raw_Data!I4)))="Gold"),PROPER(TRIM(CLEAN(Raw_Data!I4))),"Unknown")</f>
        <v>Gold</v>
      </c>
      <c r="K4" s="11">
        <f>IF(ISNUMBER(Raw_Data!J4),Raw_Data!J4,IFERROR(DATEVALUE(Raw_Data!J4),""))</f>
        <v>45195</v>
      </c>
      <c r="L4" s="8" t="str">
        <f t="shared" si="0"/>
        <v>outlook.com</v>
      </c>
      <c r="M4" s="8" t="str">
        <f t="shared" si="1"/>
        <v>CUS</v>
      </c>
      <c r="N4" s="8" t="str">
        <f t="shared" si="2"/>
        <v>01962</v>
      </c>
      <c r="O4" s="8" t="str">
        <f t="shared" si="3"/>
        <v>6715</v>
      </c>
      <c r="P4" s="8" t="str">
        <f t="shared" si="4"/>
        <v>Ahmed Hafez - Gold</v>
      </c>
      <c r="Q4" s="12" t="str">
        <f>IF(B4="","Remove - missing ID",IF(OR(E4="",K4=""),"Remove - invalid date",IF(COUNTIF($B$2:B4,B4)&gt;1,"Remove - duplicate ID","Keep")))</f>
        <v>Keep</v>
      </c>
      <c r="R4" s="8" t="str">
        <f t="shared" si="5"/>
        <v>Yes</v>
      </c>
    </row>
    <row r="5" spans="1:18" x14ac:dyDescent="0.25">
      <c r="A5" s="8">
        <f>ROW(Raw_Data!A5)</f>
        <v>5</v>
      </c>
      <c r="B5" s="8" t="str">
        <f>TRIM(CLEAN(Raw_Data!A5))</f>
        <v>CUS00344</v>
      </c>
      <c r="C5" s="8" t="str">
        <f>IF(TRIM(CLEAN(Raw_Data!B5))="","Not Provided",PROPER(TRIM(CLEAN(Raw_Data!B5))))</f>
        <v>Hoda Fathy</v>
      </c>
      <c r="D5" s="8" t="str">
        <f>IF(OR(PROPER(TRIM(CLEAN(Raw_Data!C5)))="Male",PROPER(TRIM(CLEAN(Raw_Data!C5)))="Female"),PROPER(TRIM(CLEAN(Raw_Data!C5))),"Unknown")</f>
        <v>Female</v>
      </c>
      <c r="E5" s="11">
        <f>IF(ISNUMBER(Raw_Data!D5),Raw_Data!D5,IFERROR(DATEVALUE(Raw_Data!D5),""))</f>
        <v>36665</v>
      </c>
      <c r="F5" s="8" t="str">
        <f>IF(TRIM(CLEAN(Raw_Data!E5))="","Not Provided",TRIM(CLEAN(Raw_Data!E5)))</f>
        <v>1195645083</v>
      </c>
      <c r="G5" s="8" t="str">
        <f>IF(TRIM(CLEAN(Raw_Data!F5))="","Not Provided",LOWER(TRIM(CLEAN(Raw_Data!F5))))</f>
        <v>hoda.fathy26@outlook.com</v>
      </c>
      <c r="H5" s="8" t="str">
        <f>IF(TRIM(CLEAN(Raw_Data!G5))="","Not Provided",PROPER(TRIM(CLEAN(Raw_Data!G5))))</f>
        <v>Giza</v>
      </c>
      <c r="I5" s="8" t="str">
        <f>IF(TRIM(CLEAN(Raw_Data!H5))="","Not Provided",PROPER(TRIM(CLEAN(Raw_Data!H5))))</f>
        <v>Greater Cairo</v>
      </c>
      <c r="J5" s="8" t="str">
        <f>IF(OR(PROPER(TRIM(CLEAN(Raw_Data!I5)))="Bronze",PROPER(TRIM(CLEAN(Raw_Data!I5)))="Silver",PROPER(TRIM(CLEAN(Raw_Data!I5)))="Gold"),PROPER(TRIM(CLEAN(Raw_Data!I5))),"Unknown")</f>
        <v>Bronze</v>
      </c>
      <c r="K5" s="11">
        <f>IF(ISNUMBER(Raw_Data!J5),Raw_Data!J5,IFERROR(DATEVALUE(Raw_Data!J5),""))</f>
        <v>44384</v>
      </c>
      <c r="L5" s="8" t="str">
        <f t="shared" si="0"/>
        <v>outlook.com</v>
      </c>
      <c r="M5" s="8" t="str">
        <f t="shared" si="1"/>
        <v>CUS</v>
      </c>
      <c r="N5" s="8" t="str">
        <f t="shared" si="2"/>
        <v>00344</v>
      </c>
      <c r="O5" s="8" t="str">
        <f t="shared" si="3"/>
        <v>5083</v>
      </c>
      <c r="P5" s="8" t="str">
        <f t="shared" si="4"/>
        <v>Hoda Fathy - Bronze</v>
      </c>
      <c r="Q5" s="12" t="str">
        <f>IF(B5="","Remove - missing ID",IF(OR(E5="",K5=""),"Remove - invalid date",IF(COUNTIF($B$2:B5,B5)&gt;1,"Remove - duplicate ID","Keep")))</f>
        <v>Keep</v>
      </c>
      <c r="R5" s="8" t="str">
        <f t="shared" si="5"/>
        <v>Yes</v>
      </c>
    </row>
    <row r="6" spans="1:18" x14ac:dyDescent="0.25">
      <c r="A6" s="8">
        <f>ROW(Raw_Data!A6)</f>
        <v>6</v>
      </c>
      <c r="B6" s="8" t="str">
        <f>TRIM(CLEAN(Raw_Data!A6))</f>
        <v>CUS02664</v>
      </c>
      <c r="C6" s="8" t="str">
        <f>IF(TRIM(CLEAN(Raw_Data!B6))="","Not Provided",PROPER(TRIM(CLEAN(Raw_Data!B6))))</f>
        <v>Hussein Lotfy</v>
      </c>
      <c r="D6" s="8" t="str">
        <f>IF(OR(PROPER(TRIM(CLEAN(Raw_Data!C6)))="Male",PROPER(TRIM(CLEAN(Raw_Data!C6)))="Female"),PROPER(TRIM(CLEAN(Raw_Data!C6))),"Unknown")</f>
        <v>Male</v>
      </c>
      <c r="E6" s="11">
        <f>IF(ISNUMBER(Raw_Data!D6),Raw_Data!D6,IFERROR(DATEVALUE(Raw_Data!D6),""))</f>
        <v>36155</v>
      </c>
      <c r="F6" s="8" t="str">
        <f>IF(TRIM(CLEAN(Raw_Data!E6))="","Not Provided",TRIM(CLEAN(Raw_Data!E6)))</f>
        <v>1149528740</v>
      </c>
      <c r="G6" s="8" t="str">
        <f>IF(TRIM(CLEAN(Raw_Data!F6))="","Not Provided",LOWER(TRIM(CLEAN(Raw_Data!F6))))</f>
        <v>hussein.lotfy80@gmail.com</v>
      </c>
      <c r="H6" s="8" t="str">
        <f>IF(TRIM(CLEAN(Raw_Data!G6))="","Not Provided",PROPER(TRIM(CLEAN(Raw_Data!G6))))</f>
        <v>Tanta</v>
      </c>
      <c r="I6" s="8" t="str">
        <f>IF(TRIM(CLEAN(Raw_Data!H6))="","Not Provided",PROPER(TRIM(CLEAN(Raw_Data!H6))))</f>
        <v>Nile Delta</v>
      </c>
      <c r="J6" s="8" t="str">
        <f>IF(OR(PROPER(TRIM(CLEAN(Raw_Data!I6)))="Bronze",PROPER(TRIM(CLEAN(Raw_Data!I6)))="Silver",PROPER(TRIM(CLEAN(Raw_Data!I6)))="Gold"),PROPER(TRIM(CLEAN(Raw_Data!I6))),"Unknown")</f>
        <v>Gold</v>
      </c>
      <c r="K6" s="11">
        <f>IF(ISNUMBER(Raw_Data!J6),Raw_Data!J6,IFERROR(DATEVALUE(Raw_Data!J6),""))</f>
        <v>44839</v>
      </c>
      <c r="L6" s="8" t="str">
        <f t="shared" si="0"/>
        <v>gmail.com</v>
      </c>
      <c r="M6" s="8" t="str">
        <f t="shared" si="1"/>
        <v>CUS</v>
      </c>
      <c r="N6" s="8" t="str">
        <f t="shared" si="2"/>
        <v>02664</v>
      </c>
      <c r="O6" s="8" t="str">
        <f t="shared" si="3"/>
        <v>8740</v>
      </c>
      <c r="P6" s="8" t="str">
        <f t="shared" si="4"/>
        <v>Hussein Lotfy - Gold</v>
      </c>
      <c r="Q6" s="12" t="str">
        <f>IF(B6="","Remove - missing ID",IF(OR(E6="",K6=""),"Remove - invalid date",IF(COUNTIF($B$2:B6,B6)&gt;1,"Remove - duplicate ID","Keep")))</f>
        <v>Keep</v>
      </c>
      <c r="R6" s="8" t="str">
        <f t="shared" si="5"/>
        <v>Yes</v>
      </c>
    </row>
    <row r="7" spans="1:18" x14ac:dyDescent="0.25">
      <c r="A7" s="8">
        <f>ROW(Raw_Data!A7)</f>
        <v>7</v>
      </c>
      <c r="B7" s="8" t="str">
        <f>TRIM(CLEAN(Raw_Data!A7))</f>
        <v>CUS01174</v>
      </c>
      <c r="C7" s="8" t="str">
        <f>IF(TRIM(CLEAN(Raw_Data!B7))="","Not Provided",PROPER(TRIM(CLEAN(Raw_Data!B7))))</f>
        <v>Nour Mostafa</v>
      </c>
      <c r="D7" s="8" t="str">
        <f>IF(OR(PROPER(TRIM(CLEAN(Raw_Data!C7)))="Male",PROPER(TRIM(CLEAN(Raw_Data!C7)))="Female"),PROPER(TRIM(CLEAN(Raw_Data!C7))),"Unknown")</f>
        <v>Female</v>
      </c>
      <c r="E7" s="11">
        <f>IF(ISNUMBER(Raw_Data!D7),Raw_Data!D7,IFERROR(DATEVALUE(Raw_Data!D7),""))</f>
        <v>30843</v>
      </c>
      <c r="F7" s="8" t="str">
        <f>IF(TRIM(CLEAN(Raw_Data!E7))="","Not Provided",TRIM(CLEAN(Raw_Data!E7)))</f>
        <v>1114481563</v>
      </c>
      <c r="G7" s="8" t="str">
        <f>IF(TRIM(CLEAN(Raw_Data!F7))="","Not Provided",LOWER(TRIM(CLEAN(Raw_Data!F7))))</f>
        <v>nour.mostafa72@hotmail.com</v>
      </c>
      <c r="H7" s="8" t="str">
        <f>IF(TRIM(CLEAN(Raw_Data!G7))="","Not Provided",PROPER(TRIM(CLEAN(Raw_Data!G7))))</f>
        <v>Cairo</v>
      </c>
      <c r="I7" s="8" t="str">
        <f>IF(TRIM(CLEAN(Raw_Data!H7))="","Not Provided",PROPER(TRIM(CLEAN(Raw_Data!H7))))</f>
        <v>Greater Cairo</v>
      </c>
      <c r="J7" s="8" t="str">
        <f>IF(OR(PROPER(TRIM(CLEAN(Raw_Data!I7)))="Bronze",PROPER(TRIM(CLEAN(Raw_Data!I7)))="Silver",PROPER(TRIM(CLEAN(Raw_Data!I7)))="Gold"),PROPER(TRIM(CLEAN(Raw_Data!I7))),"Unknown")</f>
        <v>Silver</v>
      </c>
      <c r="K7" s="11">
        <f>IF(ISNUMBER(Raw_Data!J7),Raw_Data!J7,IFERROR(DATEVALUE(Raw_Data!J7),""))</f>
        <v>44476</v>
      </c>
      <c r="L7" s="8" t="str">
        <f t="shared" si="0"/>
        <v>hotmail.com</v>
      </c>
      <c r="M7" s="8" t="str">
        <f t="shared" si="1"/>
        <v>CUS</v>
      </c>
      <c r="N7" s="8" t="str">
        <f t="shared" si="2"/>
        <v>01174</v>
      </c>
      <c r="O7" s="8" t="str">
        <f t="shared" si="3"/>
        <v>1563</v>
      </c>
      <c r="P7" s="8" t="str">
        <f t="shared" si="4"/>
        <v>Nour Mostafa - Silver</v>
      </c>
      <c r="Q7" s="12" t="str">
        <f>IF(B7="","Remove - missing ID",IF(OR(E7="",K7=""),"Remove - invalid date",IF(COUNTIF($B$2:B7,B7)&gt;1,"Remove - duplicate ID","Keep")))</f>
        <v>Keep</v>
      </c>
      <c r="R7" s="8" t="str">
        <f t="shared" si="5"/>
        <v>Yes</v>
      </c>
    </row>
    <row r="8" spans="1:18" x14ac:dyDescent="0.25">
      <c r="A8" s="8">
        <f>ROW(Raw_Data!A8)</f>
        <v>8</v>
      </c>
      <c r="B8" s="8" t="str">
        <f>TRIM(CLEAN(Raw_Data!A8))</f>
        <v>CUS02677</v>
      </c>
      <c r="C8" s="8" t="str">
        <f>IF(TRIM(CLEAN(Raw_Data!B8))="","Not Provided",PROPER(TRIM(CLEAN(Raw_Data!B8))))</f>
        <v>Hazem Hamdy</v>
      </c>
      <c r="D8" s="8" t="str">
        <f>IF(OR(PROPER(TRIM(CLEAN(Raw_Data!C8)))="Male",PROPER(TRIM(CLEAN(Raw_Data!C8)))="Female"),PROPER(TRIM(CLEAN(Raw_Data!C8))),"Unknown")</f>
        <v>Male</v>
      </c>
      <c r="E8" s="11">
        <f>IF(ISNUMBER(Raw_Data!D8),Raw_Data!D8,IFERROR(DATEVALUE(Raw_Data!D8),""))</f>
        <v>27297</v>
      </c>
      <c r="F8" s="8" t="str">
        <f>IF(TRIM(CLEAN(Raw_Data!E8))="","Not Provided",TRIM(CLEAN(Raw_Data!E8)))</f>
        <v>1084698064</v>
      </c>
      <c r="G8" s="8" t="str">
        <f>IF(TRIM(CLEAN(Raw_Data!F8))="","Not Provided",LOWER(TRIM(CLEAN(Raw_Data!F8))))</f>
        <v>hazem.hamdy68@outlook.com</v>
      </c>
      <c r="H8" s="8" t="str">
        <f>IF(TRIM(CLEAN(Raw_Data!G8))="","Not Provided",PROPER(TRIM(CLEAN(Raw_Data!G8))))</f>
        <v>Giza</v>
      </c>
      <c r="I8" s="8" t="str">
        <f>IF(TRIM(CLEAN(Raw_Data!H8))="","Not Provided",PROPER(TRIM(CLEAN(Raw_Data!H8))))</f>
        <v>Greater Cairo</v>
      </c>
      <c r="J8" s="8" t="str">
        <f>IF(OR(PROPER(TRIM(CLEAN(Raw_Data!I8)))="Bronze",PROPER(TRIM(CLEAN(Raw_Data!I8)))="Silver",PROPER(TRIM(CLEAN(Raw_Data!I8)))="Gold"),PROPER(TRIM(CLEAN(Raw_Data!I8))),"Unknown")</f>
        <v>Bronze</v>
      </c>
      <c r="K8" s="11">
        <f>IF(ISNUMBER(Raw_Data!J8),Raw_Data!J8,IFERROR(DATEVALUE(Raw_Data!J8),""))</f>
        <v>43858</v>
      </c>
      <c r="L8" s="8" t="str">
        <f t="shared" si="0"/>
        <v>outlook.com</v>
      </c>
      <c r="M8" s="8" t="str">
        <f t="shared" si="1"/>
        <v>CUS</v>
      </c>
      <c r="N8" s="8" t="str">
        <f t="shared" si="2"/>
        <v>02677</v>
      </c>
      <c r="O8" s="8" t="str">
        <f t="shared" si="3"/>
        <v>8064</v>
      </c>
      <c r="P8" s="8" t="str">
        <f t="shared" si="4"/>
        <v>Hazem Hamdy - Bronze</v>
      </c>
      <c r="Q8" s="12" t="str">
        <f>IF(B8="","Remove - missing ID",IF(OR(E8="",K8=""),"Remove - invalid date",IF(COUNTIF($B$2:B8,B8)&gt;1,"Remove - duplicate ID","Keep")))</f>
        <v>Keep</v>
      </c>
      <c r="R8" s="8" t="str">
        <f t="shared" si="5"/>
        <v>Yes</v>
      </c>
    </row>
    <row r="9" spans="1:18" x14ac:dyDescent="0.25">
      <c r="A9" s="8">
        <f>ROW(Raw_Data!A9)</f>
        <v>9</v>
      </c>
      <c r="B9" s="8" t="str">
        <f>TRIM(CLEAN(Raw_Data!A9))</f>
        <v>CUS01028</v>
      </c>
      <c r="C9" s="8" t="str">
        <f>IF(TRIM(CLEAN(Raw_Data!B9))="","Not Provided",PROPER(TRIM(CLEAN(Raw_Data!B9))))</f>
        <v>Fatima Ramadan</v>
      </c>
      <c r="D9" s="8" t="str">
        <f>IF(OR(PROPER(TRIM(CLEAN(Raw_Data!C9)))="Male",PROPER(TRIM(CLEAN(Raw_Data!C9)))="Female"),PROPER(TRIM(CLEAN(Raw_Data!C9))),"Unknown")</f>
        <v>Female</v>
      </c>
      <c r="E9" s="11">
        <f>IF(ISNUMBER(Raw_Data!D9),Raw_Data!D9,IFERROR(DATEVALUE(Raw_Data!D9),""))</f>
        <v>27687</v>
      </c>
      <c r="F9" s="8" t="str">
        <f>IF(TRIM(CLEAN(Raw_Data!E9))="","Not Provided",TRIM(CLEAN(Raw_Data!E9)))</f>
        <v>1019232076</v>
      </c>
      <c r="G9" s="8" t="str">
        <f>IF(TRIM(CLEAN(Raw_Data!F9))="","Not Provided",LOWER(TRIM(CLEAN(Raw_Data!F9))))</f>
        <v>fatima.ramadan42@outlook.com</v>
      </c>
      <c r="H9" s="8" t="str">
        <f>IF(TRIM(CLEAN(Raw_Data!G9))="","Not Provided",PROPER(TRIM(CLEAN(Raw_Data!G9))))</f>
        <v>Aswan</v>
      </c>
      <c r="I9" s="8" t="str">
        <f>IF(TRIM(CLEAN(Raw_Data!H9))="","Not Provided",PROPER(TRIM(CLEAN(Raw_Data!H9))))</f>
        <v>Upper Egypt</v>
      </c>
      <c r="J9" s="8" t="str">
        <f>IF(OR(PROPER(TRIM(CLEAN(Raw_Data!I9)))="Bronze",PROPER(TRIM(CLEAN(Raw_Data!I9)))="Silver",PROPER(TRIM(CLEAN(Raw_Data!I9)))="Gold"),PROPER(TRIM(CLEAN(Raw_Data!I9))),"Unknown")</f>
        <v>Bronze</v>
      </c>
      <c r="K9" s="11">
        <f>IF(ISNUMBER(Raw_Data!J9),Raw_Data!J9,IFERROR(DATEVALUE(Raw_Data!J9),""))</f>
        <v>45019</v>
      </c>
      <c r="L9" s="8" t="str">
        <f t="shared" si="0"/>
        <v>outlook.com</v>
      </c>
      <c r="M9" s="8" t="str">
        <f t="shared" si="1"/>
        <v>CUS</v>
      </c>
      <c r="N9" s="8" t="str">
        <f t="shared" si="2"/>
        <v>01028</v>
      </c>
      <c r="O9" s="8" t="str">
        <f t="shared" si="3"/>
        <v>2076</v>
      </c>
      <c r="P9" s="8" t="str">
        <f t="shared" si="4"/>
        <v>Fatima Ramadan - Bronze</v>
      </c>
      <c r="Q9" s="12" t="str">
        <f>IF(B9="","Remove - missing ID",IF(OR(E9="",K9=""),"Remove - invalid date",IF(COUNTIF($B$2:B9,B9)&gt;1,"Remove - duplicate ID","Keep")))</f>
        <v>Keep</v>
      </c>
      <c r="R9" s="8" t="str">
        <f t="shared" si="5"/>
        <v>Yes</v>
      </c>
    </row>
    <row r="10" spans="1:18" x14ac:dyDescent="0.25">
      <c r="A10" s="8">
        <f>ROW(Raw_Data!A10)</f>
        <v>10</v>
      </c>
      <c r="B10" s="8" t="str">
        <f>TRIM(CLEAN(Raw_Data!A10))</f>
        <v>CUS02084</v>
      </c>
      <c r="C10" s="8" t="str">
        <f>IF(TRIM(CLEAN(Raw_Data!B10))="","Not Provided",PROPER(TRIM(CLEAN(Raw_Data!B10))))</f>
        <v>Ramy Farouk</v>
      </c>
      <c r="D10" s="8" t="str">
        <f>IF(OR(PROPER(TRIM(CLEAN(Raw_Data!C10)))="Male",PROPER(TRIM(CLEAN(Raw_Data!C10)))="Female"),PROPER(TRIM(CLEAN(Raw_Data!C10))),"Unknown")</f>
        <v>Male</v>
      </c>
      <c r="E10" s="11" t="str">
        <f>IF(ISNUMBER(Raw_Data!D10),Raw_Data!D10,IFERROR(DATEVALUE(Raw_Data!D10),""))</f>
        <v/>
      </c>
      <c r="F10" s="8" t="str">
        <f>IF(TRIM(CLEAN(Raw_Data!E10))="","Not Provided",TRIM(CLEAN(Raw_Data!E10)))</f>
        <v>1069113227</v>
      </c>
      <c r="G10" s="8" t="str">
        <f>IF(TRIM(CLEAN(Raw_Data!F10))="","Not Provided",LOWER(TRIM(CLEAN(Raw_Data!F10))))</f>
        <v>Not Provided</v>
      </c>
      <c r="H10" s="8" t="str">
        <f>IF(TRIM(CLEAN(Raw_Data!G10))="","Not Provided",PROPER(TRIM(CLEAN(Raw_Data!G10))))</f>
        <v>Suez</v>
      </c>
      <c r="I10" s="8" t="str">
        <f>IF(TRIM(CLEAN(Raw_Data!H10))="","Not Provided",PROPER(TRIM(CLEAN(Raw_Data!H10))))</f>
        <v>Canal Zone</v>
      </c>
      <c r="J10" s="8" t="str">
        <f>IF(OR(PROPER(TRIM(CLEAN(Raw_Data!I10)))="Bronze",PROPER(TRIM(CLEAN(Raw_Data!I10)))="Silver",PROPER(TRIM(CLEAN(Raw_Data!I10)))="Gold"),PROPER(TRIM(CLEAN(Raw_Data!I10))),"Unknown")</f>
        <v>Silver</v>
      </c>
      <c r="K10" s="11">
        <f>IF(ISNUMBER(Raw_Data!J10),Raw_Data!J10,IFERROR(DATEVALUE(Raw_Data!J10),""))</f>
        <v>44448</v>
      </c>
      <c r="L10" s="8" t="str">
        <f t="shared" si="0"/>
        <v/>
      </c>
      <c r="M10" s="8" t="str">
        <f t="shared" si="1"/>
        <v>CUS</v>
      </c>
      <c r="N10" s="8" t="str">
        <f t="shared" si="2"/>
        <v>02084</v>
      </c>
      <c r="O10" s="8" t="str">
        <f t="shared" si="3"/>
        <v>3227</v>
      </c>
      <c r="P10" s="8" t="str">
        <f t="shared" si="4"/>
        <v>Ramy Farouk - Silver</v>
      </c>
      <c r="Q10" s="12" t="str">
        <f>IF(B10="","Remove - missing ID",IF(OR(E10="",K10=""),"Remove - invalid date",IF(COUNTIF($B$2:B10,B10)&gt;1,"Remove - duplicate ID","Keep")))</f>
        <v>Remove - invalid date</v>
      </c>
      <c r="R10" s="8" t="str">
        <f t="shared" si="5"/>
        <v>No</v>
      </c>
    </row>
    <row r="11" spans="1:18" x14ac:dyDescent="0.25">
      <c r="A11" s="8">
        <f>ROW(Raw_Data!A11)</f>
        <v>11</v>
      </c>
      <c r="B11" s="8" t="str">
        <f>TRIM(CLEAN(Raw_Data!A11))</f>
        <v>CUS01445</v>
      </c>
      <c r="C11" s="8" t="str">
        <f>IF(TRIM(CLEAN(Raw_Data!B11))="","Not Provided",PROPER(TRIM(CLEAN(Raw_Data!B11))))</f>
        <v>Sherif Zaki</v>
      </c>
      <c r="D11" s="8" t="str">
        <f>IF(OR(PROPER(TRIM(CLEAN(Raw_Data!C11)))="Male",PROPER(TRIM(CLEAN(Raw_Data!C11)))="Female"),PROPER(TRIM(CLEAN(Raw_Data!C11))),"Unknown")</f>
        <v>Male</v>
      </c>
      <c r="E11" s="11">
        <f>IF(ISNUMBER(Raw_Data!D11),Raw_Data!D11,IFERROR(DATEVALUE(Raw_Data!D11),""))</f>
        <v>33609</v>
      </c>
      <c r="F11" s="8" t="str">
        <f>IF(TRIM(CLEAN(Raw_Data!E11))="","Not Provided",TRIM(CLEAN(Raw_Data!E11)))</f>
        <v>Not Provided</v>
      </c>
      <c r="G11" s="8" t="str">
        <f>IF(TRIM(CLEAN(Raw_Data!F11))="","Not Provided",LOWER(TRIM(CLEAN(Raw_Data!F11))))</f>
        <v>sherif.zaki7@hotmail.com</v>
      </c>
      <c r="H11" s="8" t="str">
        <f>IF(TRIM(CLEAN(Raw_Data!G11))="","Not Provided",PROPER(TRIM(CLEAN(Raw_Data!G11))))</f>
        <v>Luxor</v>
      </c>
      <c r="I11" s="8" t="str">
        <f>IF(TRIM(CLEAN(Raw_Data!H11))="","Not Provided",PROPER(TRIM(CLEAN(Raw_Data!H11))))</f>
        <v>Upper Egypt</v>
      </c>
      <c r="J11" s="8" t="str">
        <f>IF(OR(PROPER(TRIM(CLEAN(Raw_Data!I11)))="Bronze",PROPER(TRIM(CLEAN(Raw_Data!I11)))="Silver",PROPER(TRIM(CLEAN(Raw_Data!I11)))="Gold"),PROPER(TRIM(CLEAN(Raw_Data!I11))),"Unknown")</f>
        <v>Silver</v>
      </c>
      <c r="K11" s="11">
        <f>IF(ISNUMBER(Raw_Data!J11),Raw_Data!J11,IFERROR(DATEVALUE(Raw_Data!J11),""))</f>
        <v>44129</v>
      </c>
      <c r="L11" s="8" t="str">
        <f t="shared" si="0"/>
        <v>hotmail.com</v>
      </c>
      <c r="M11" s="8" t="str">
        <f t="shared" si="1"/>
        <v>CUS</v>
      </c>
      <c r="N11" s="8" t="str">
        <f t="shared" si="2"/>
        <v>01445</v>
      </c>
      <c r="O11" s="8" t="str">
        <f t="shared" si="3"/>
        <v>ided</v>
      </c>
      <c r="P11" s="8" t="str">
        <f t="shared" si="4"/>
        <v>Sherif Zaki - Silver</v>
      </c>
      <c r="Q11" s="12" t="str">
        <f>IF(B11="","Remove - missing ID",IF(OR(E11="",K11=""),"Remove - invalid date",IF(COUNTIF($B$2:B11,B11)&gt;1,"Remove - duplicate ID","Keep")))</f>
        <v>Keep</v>
      </c>
      <c r="R11" s="8" t="str">
        <f t="shared" si="5"/>
        <v>Yes</v>
      </c>
    </row>
    <row r="12" spans="1:18" x14ac:dyDescent="0.25">
      <c r="A12" s="8">
        <f>ROW(Raw_Data!A12)</f>
        <v>12</v>
      </c>
      <c r="B12" s="8" t="str">
        <f>TRIM(CLEAN(Raw_Data!A12))</f>
        <v>CUS00933</v>
      </c>
      <c r="C12" s="8" t="str">
        <f>IF(TRIM(CLEAN(Raw_Data!B12))="","Not Provided",PROPER(TRIM(CLEAN(Raw_Data!B12))))</f>
        <v>Not Provided</v>
      </c>
      <c r="D12" s="8" t="str">
        <f>IF(OR(PROPER(TRIM(CLEAN(Raw_Data!C12)))="Male",PROPER(TRIM(CLEAN(Raw_Data!C12)))="Female"),PROPER(TRIM(CLEAN(Raw_Data!C12))),"Unknown")</f>
        <v>Male</v>
      </c>
      <c r="E12" s="11">
        <f>IF(ISNUMBER(Raw_Data!D12),Raw_Data!D12,IFERROR(DATEVALUE(Raw_Data!D12),""))</f>
        <v>33225</v>
      </c>
      <c r="F12" s="8" t="str">
        <f>IF(TRIM(CLEAN(Raw_Data!E12))="","Not Provided",TRIM(CLEAN(Raw_Data!E12)))</f>
        <v>1229438263</v>
      </c>
      <c r="G12" s="8" t="str">
        <f>IF(TRIM(CLEAN(Raw_Data!F12))="","Not Provided",LOWER(TRIM(CLEAN(Raw_Data!F12))))</f>
        <v>bassem.farouk40@gmail.com</v>
      </c>
      <c r="H12" s="8" t="str">
        <f>IF(TRIM(CLEAN(Raw_Data!G12))="","Not Provided",PROPER(TRIM(CLEAN(Raw_Data!G12))))</f>
        <v>Ismailia</v>
      </c>
      <c r="I12" s="8" t="str">
        <f>IF(TRIM(CLEAN(Raw_Data!H12))="","Not Provided",PROPER(TRIM(CLEAN(Raw_Data!H12))))</f>
        <v>Canal Zone</v>
      </c>
      <c r="J12" s="8" t="str">
        <f>IF(OR(PROPER(TRIM(CLEAN(Raw_Data!I12)))="Bronze",PROPER(TRIM(CLEAN(Raw_Data!I12)))="Silver",PROPER(TRIM(CLEAN(Raw_Data!I12)))="Gold"),PROPER(TRIM(CLEAN(Raw_Data!I12))),"Unknown")</f>
        <v>Silver</v>
      </c>
      <c r="K12" s="11">
        <f>IF(ISNUMBER(Raw_Data!J12),Raw_Data!J12,IFERROR(DATEVALUE(Raw_Data!J12),""))</f>
        <v>44191</v>
      </c>
      <c r="L12" s="8" t="str">
        <f t="shared" si="0"/>
        <v>gmail.com</v>
      </c>
      <c r="M12" s="8" t="str">
        <f t="shared" si="1"/>
        <v>CUS</v>
      </c>
      <c r="N12" s="8" t="str">
        <f t="shared" si="2"/>
        <v>00933</v>
      </c>
      <c r="O12" s="8" t="str">
        <f t="shared" si="3"/>
        <v>8263</v>
      </c>
      <c r="P12" s="8" t="str">
        <f t="shared" si="4"/>
        <v>Not Provided - Silver</v>
      </c>
      <c r="Q12" s="12" t="str">
        <f>IF(B12="","Remove - missing ID",IF(OR(E12="",K12=""),"Remove - invalid date",IF(COUNTIF($B$2:B12,B12)&gt;1,"Remove - duplicate ID","Keep")))</f>
        <v>Keep</v>
      </c>
      <c r="R12" s="8" t="str">
        <f t="shared" si="5"/>
        <v>Yes</v>
      </c>
    </row>
    <row r="13" spans="1:18" x14ac:dyDescent="0.25">
      <c r="A13" s="8">
        <f>ROW(Raw_Data!A13)</f>
        <v>13</v>
      </c>
      <c r="B13" s="8" t="str">
        <f>TRIM(CLEAN(Raw_Data!A13))</f>
        <v>CUS00179</v>
      </c>
      <c r="C13" s="8" t="str">
        <f>IF(TRIM(CLEAN(Raw_Data!B13))="","Not Provided",PROPER(TRIM(CLEAN(Raw_Data!B13))))</f>
        <v>Hossam Fathy</v>
      </c>
      <c r="D13" s="8" t="str">
        <f>IF(OR(PROPER(TRIM(CLEAN(Raw_Data!C13)))="Male",PROPER(TRIM(CLEAN(Raw_Data!C13)))="Female"),PROPER(TRIM(CLEAN(Raw_Data!C13))),"Unknown")</f>
        <v>Male</v>
      </c>
      <c r="E13" s="11">
        <f>IF(ISNUMBER(Raw_Data!D13),Raw_Data!D13,IFERROR(DATEVALUE(Raw_Data!D13),""))</f>
        <v>29867</v>
      </c>
      <c r="F13" s="8" t="str">
        <f>IF(TRIM(CLEAN(Raw_Data!E13))="","Not Provided",TRIM(CLEAN(Raw_Data!E13)))</f>
        <v>1248988647</v>
      </c>
      <c r="G13" s="8" t="str">
        <f>IF(TRIM(CLEAN(Raw_Data!F13))="","Not Provided",LOWER(TRIM(CLEAN(Raw_Data!F13))))</f>
        <v>hossam.fathy16@yahoo.com</v>
      </c>
      <c r="H13" s="8" t="str">
        <f>IF(TRIM(CLEAN(Raw_Data!G13))="","Not Provided",PROPER(TRIM(CLEAN(Raw_Data!G13))))</f>
        <v>Port Said</v>
      </c>
      <c r="I13" s="8" t="str">
        <f>IF(TRIM(CLEAN(Raw_Data!H13))="","Not Provided",PROPER(TRIM(CLEAN(Raw_Data!H13))))</f>
        <v>Not Provided</v>
      </c>
      <c r="J13" s="8" t="str">
        <f>IF(OR(PROPER(TRIM(CLEAN(Raw_Data!I13)))="Bronze",PROPER(TRIM(CLEAN(Raw_Data!I13)))="Silver",PROPER(TRIM(CLEAN(Raw_Data!I13)))="Gold"),PROPER(TRIM(CLEAN(Raw_Data!I13))),"Unknown")</f>
        <v>Bronze</v>
      </c>
      <c r="K13" s="11">
        <f>IF(ISNUMBER(Raw_Data!J13),Raw_Data!J13,IFERROR(DATEVALUE(Raw_Data!J13),""))</f>
        <v>45109</v>
      </c>
      <c r="L13" s="8" t="str">
        <f t="shared" si="0"/>
        <v>yahoo.com</v>
      </c>
      <c r="M13" s="8" t="str">
        <f t="shared" si="1"/>
        <v>CUS</v>
      </c>
      <c r="N13" s="8" t="str">
        <f t="shared" si="2"/>
        <v>00179</v>
      </c>
      <c r="O13" s="8" t="str">
        <f t="shared" si="3"/>
        <v>8647</v>
      </c>
      <c r="P13" s="8" t="str">
        <f t="shared" si="4"/>
        <v>Hossam Fathy - Bronze</v>
      </c>
      <c r="Q13" s="12" t="str">
        <f>IF(B13="","Remove - missing ID",IF(OR(E13="",K13=""),"Remove - invalid date",IF(COUNTIF($B$2:B13,B13)&gt;1,"Remove - duplicate ID","Keep")))</f>
        <v>Keep</v>
      </c>
      <c r="R13" s="8" t="str">
        <f t="shared" si="5"/>
        <v>Yes</v>
      </c>
    </row>
    <row r="14" spans="1:18" x14ac:dyDescent="0.25">
      <c r="A14" s="8">
        <f>ROW(Raw_Data!A14)</f>
        <v>14</v>
      </c>
      <c r="B14" s="8" t="str">
        <f>TRIM(CLEAN(Raw_Data!A14))</f>
        <v>CUS01594</v>
      </c>
      <c r="C14" s="8" t="str">
        <f>IF(TRIM(CLEAN(Raw_Data!B14))="","Not Provided",PROPER(TRIM(CLEAN(Raw_Data!B14))))</f>
        <v>Hoda Badawi</v>
      </c>
      <c r="D14" s="8" t="str">
        <f>IF(OR(PROPER(TRIM(CLEAN(Raw_Data!C14)))="Male",PROPER(TRIM(CLEAN(Raw_Data!C14)))="Female"),PROPER(TRIM(CLEAN(Raw_Data!C14))),"Unknown")</f>
        <v>Female</v>
      </c>
      <c r="E14" s="11" t="str">
        <f>IF(ISNUMBER(Raw_Data!D14),Raw_Data!D14,IFERROR(DATEVALUE(Raw_Data!D14),""))</f>
        <v/>
      </c>
      <c r="F14" s="8" t="str">
        <f>IF(TRIM(CLEAN(Raw_Data!E14))="","Not Provided",TRIM(CLEAN(Raw_Data!E14)))</f>
        <v>1271886181</v>
      </c>
      <c r="G14" s="8" t="str">
        <f>IF(TRIM(CLEAN(Raw_Data!F14))="","Not Provided",LOWER(TRIM(CLEAN(Raw_Data!F14))))</f>
        <v>hoda.badawi40@yahoo.com</v>
      </c>
      <c r="H14" s="8" t="str">
        <f>IF(TRIM(CLEAN(Raw_Data!G14))="","Not Provided",PROPER(TRIM(CLEAN(Raw_Data!G14))))</f>
        <v>Cairo</v>
      </c>
      <c r="I14" s="8" t="str">
        <f>IF(TRIM(CLEAN(Raw_Data!H14))="","Not Provided",PROPER(TRIM(CLEAN(Raw_Data!H14))))</f>
        <v>Greater Cairo</v>
      </c>
      <c r="J14" s="8" t="str">
        <f>IF(OR(PROPER(TRIM(CLEAN(Raw_Data!I14)))="Bronze",PROPER(TRIM(CLEAN(Raw_Data!I14)))="Silver",PROPER(TRIM(CLEAN(Raw_Data!I14)))="Gold"),PROPER(TRIM(CLEAN(Raw_Data!I14))),"Unknown")</f>
        <v>Gold</v>
      </c>
      <c r="K14" s="11">
        <f>IF(ISNUMBER(Raw_Data!J14),Raw_Data!J14,IFERROR(DATEVALUE(Raw_Data!J14),""))</f>
        <v>44701</v>
      </c>
      <c r="L14" s="8" t="str">
        <f t="shared" si="0"/>
        <v>yahoo.com</v>
      </c>
      <c r="M14" s="8" t="str">
        <f t="shared" si="1"/>
        <v>CUS</v>
      </c>
      <c r="N14" s="8" t="str">
        <f t="shared" si="2"/>
        <v>01594</v>
      </c>
      <c r="O14" s="8" t="str">
        <f t="shared" si="3"/>
        <v>6181</v>
      </c>
      <c r="P14" s="8" t="str">
        <f t="shared" si="4"/>
        <v>Hoda Badawi - Gold</v>
      </c>
      <c r="Q14" s="12" t="str">
        <f>IF(B14="","Remove - missing ID",IF(OR(E14="",K14=""),"Remove - invalid date",IF(COUNTIF($B$2:B14,B14)&gt;1,"Remove - duplicate ID","Keep")))</f>
        <v>Remove - invalid date</v>
      </c>
      <c r="R14" s="8" t="str">
        <f t="shared" si="5"/>
        <v>No</v>
      </c>
    </row>
    <row r="15" spans="1:18" x14ac:dyDescent="0.25">
      <c r="A15" s="8">
        <f>ROW(Raw_Data!A15)</f>
        <v>15</v>
      </c>
      <c r="B15" s="8" t="str">
        <f>TRIM(CLEAN(Raw_Data!A15))</f>
        <v>CUS01948</v>
      </c>
      <c r="C15" s="8" t="str">
        <f>IF(TRIM(CLEAN(Raw_Data!B15))="","Not Provided",PROPER(TRIM(CLEAN(Raw_Data!B15))))</f>
        <v>Ahmed Mostafa</v>
      </c>
      <c r="D15" s="8" t="str">
        <f>IF(OR(PROPER(TRIM(CLEAN(Raw_Data!C15)))="Male",PROPER(TRIM(CLEAN(Raw_Data!C15)))="Female"),PROPER(TRIM(CLEAN(Raw_Data!C15))),"Unknown")</f>
        <v>Male</v>
      </c>
      <c r="E15" s="11">
        <f>IF(ISNUMBER(Raw_Data!D15),Raw_Data!D15,IFERROR(DATEVALUE(Raw_Data!D15),""))</f>
        <v>29556</v>
      </c>
      <c r="F15" s="8" t="str">
        <f>IF(TRIM(CLEAN(Raw_Data!E15))="","Not Provided",TRIM(CLEAN(Raw_Data!E15)))</f>
        <v>1070428122</v>
      </c>
      <c r="G15" s="8" t="str">
        <f>IF(TRIM(CLEAN(Raw_Data!F15))="","Not Provided",LOWER(TRIM(CLEAN(Raw_Data!F15))))</f>
        <v>ahmed.mostafa83@hotmail.com</v>
      </c>
      <c r="H15" s="8" t="str">
        <f>IF(TRIM(CLEAN(Raw_Data!G15))="","Not Provided",PROPER(TRIM(CLEAN(Raw_Data!G15))))</f>
        <v>Cairo</v>
      </c>
      <c r="I15" s="8" t="str">
        <f>IF(TRIM(CLEAN(Raw_Data!H15))="","Not Provided",PROPER(TRIM(CLEAN(Raw_Data!H15))))</f>
        <v>Greater Cairo</v>
      </c>
      <c r="J15" s="8" t="str">
        <f>IF(OR(PROPER(TRIM(CLEAN(Raw_Data!I15)))="Bronze",PROPER(TRIM(CLEAN(Raw_Data!I15)))="Silver",PROPER(TRIM(CLEAN(Raw_Data!I15)))="Gold"),PROPER(TRIM(CLEAN(Raw_Data!I15))),"Unknown")</f>
        <v>Unknown</v>
      </c>
      <c r="K15" s="11">
        <f>IF(ISNUMBER(Raw_Data!J15),Raw_Data!J15,IFERROR(DATEVALUE(Raw_Data!J15),""))</f>
        <v>44762</v>
      </c>
      <c r="L15" s="8" t="str">
        <f t="shared" si="0"/>
        <v>hotmail.com</v>
      </c>
      <c r="M15" s="8" t="str">
        <f t="shared" si="1"/>
        <v>CUS</v>
      </c>
      <c r="N15" s="8" t="str">
        <f t="shared" si="2"/>
        <v>01948</v>
      </c>
      <c r="O15" s="8" t="str">
        <f t="shared" si="3"/>
        <v>8122</v>
      </c>
      <c r="P15" s="8" t="str">
        <f t="shared" si="4"/>
        <v>Ahmed Mostafa - Unknown</v>
      </c>
      <c r="Q15" s="12" t="str">
        <f>IF(B15="","Remove - missing ID",IF(OR(E15="",K15=""),"Remove - invalid date",IF(COUNTIF($B$2:B15,B15)&gt;1,"Remove - duplicate ID","Keep")))</f>
        <v>Keep</v>
      </c>
      <c r="R15" s="8" t="str">
        <f t="shared" si="5"/>
        <v>Yes</v>
      </c>
    </row>
    <row r="16" spans="1:18" x14ac:dyDescent="0.25">
      <c r="A16" s="8">
        <f>ROW(Raw_Data!A16)</f>
        <v>16</v>
      </c>
      <c r="B16" s="8" t="str">
        <f>TRIM(CLEAN(Raw_Data!A16))</f>
        <v>CUS01663</v>
      </c>
      <c r="C16" s="8" t="str">
        <f>IF(TRIM(CLEAN(Raw_Data!B16))="","Not Provided",PROPER(TRIM(CLEAN(Raw_Data!B16))))</f>
        <v>Yasmin Khalil</v>
      </c>
      <c r="D16" s="8" t="str">
        <f>IF(OR(PROPER(TRIM(CLEAN(Raw_Data!C16)))="Male",PROPER(TRIM(CLEAN(Raw_Data!C16)))="Female"),PROPER(TRIM(CLEAN(Raw_Data!C16))),"Unknown")</f>
        <v>Female</v>
      </c>
      <c r="E16" s="11" t="str">
        <f>IF(ISNUMBER(Raw_Data!D16),Raw_Data!D16,IFERROR(DATEVALUE(Raw_Data!D16),""))</f>
        <v/>
      </c>
      <c r="F16" s="8" t="str">
        <f>IF(TRIM(CLEAN(Raw_Data!E16))="","Not Provided",TRIM(CLEAN(Raw_Data!E16)))</f>
        <v>1078622351</v>
      </c>
      <c r="G16" s="8" t="str">
        <f>IF(TRIM(CLEAN(Raw_Data!F16))="","Not Provided",LOWER(TRIM(CLEAN(Raw_Data!F16))))</f>
        <v>yasmin.khalil15@gmail.com</v>
      </c>
      <c r="H16" s="8" t="str">
        <f>IF(TRIM(CLEAN(Raw_Data!G16))="","Not Provided",PROPER(TRIM(CLEAN(Raw_Data!G16))))</f>
        <v>Suez</v>
      </c>
      <c r="I16" s="8" t="str">
        <f>IF(TRIM(CLEAN(Raw_Data!H16))="","Not Provided",PROPER(TRIM(CLEAN(Raw_Data!H16))))</f>
        <v>Canal Zone</v>
      </c>
      <c r="J16" s="8" t="str">
        <f>IF(OR(PROPER(TRIM(CLEAN(Raw_Data!I16)))="Bronze",PROPER(TRIM(CLEAN(Raw_Data!I16)))="Silver",PROPER(TRIM(CLEAN(Raw_Data!I16)))="Gold"),PROPER(TRIM(CLEAN(Raw_Data!I16))),"Unknown")</f>
        <v>Silver</v>
      </c>
      <c r="K16" s="11">
        <f>IF(ISNUMBER(Raw_Data!J16),Raw_Data!J16,IFERROR(DATEVALUE(Raw_Data!J16),""))</f>
        <v>45253</v>
      </c>
      <c r="L16" s="8" t="str">
        <f t="shared" si="0"/>
        <v>gmail.com</v>
      </c>
      <c r="M16" s="8" t="str">
        <f t="shared" si="1"/>
        <v>CUS</v>
      </c>
      <c r="N16" s="8" t="str">
        <f t="shared" si="2"/>
        <v>01663</v>
      </c>
      <c r="O16" s="8" t="str">
        <f t="shared" si="3"/>
        <v>2351</v>
      </c>
      <c r="P16" s="8" t="str">
        <f t="shared" si="4"/>
        <v>Yasmin Khalil - Silver</v>
      </c>
      <c r="Q16" s="12" t="str">
        <f>IF(B16="","Remove - missing ID",IF(OR(E16="",K16=""),"Remove - invalid date",IF(COUNTIF($B$2:B16,B16)&gt;1,"Remove - duplicate ID","Keep")))</f>
        <v>Remove - invalid date</v>
      </c>
      <c r="R16" s="8" t="str">
        <f t="shared" si="5"/>
        <v>No</v>
      </c>
    </row>
    <row r="17" spans="1:18" x14ac:dyDescent="0.25">
      <c r="A17" s="8">
        <f>ROW(Raw_Data!A17)</f>
        <v>17</v>
      </c>
      <c r="B17" s="8" t="str">
        <f>TRIM(CLEAN(Raw_Data!A17))</f>
        <v>CUS02432</v>
      </c>
      <c r="C17" s="8" t="str">
        <f>IF(TRIM(CLEAN(Raw_Data!B17))="","Not Provided",PROPER(TRIM(CLEAN(Raw_Data!B17))))</f>
        <v>Hussein Younis</v>
      </c>
      <c r="D17" s="8" t="str">
        <f>IF(OR(PROPER(TRIM(CLEAN(Raw_Data!C17)))="Male",PROPER(TRIM(CLEAN(Raw_Data!C17)))="Female"),PROPER(TRIM(CLEAN(Raw_Data!C17))),"Unknown")</f>
        <v>Male</v>
      </c>
      <c r="E17" s="11">
        <f>IF(ISNUMBER(Raw_Data!D17),Raw_Data!D17,IFERROR(DATEVALUE(Raw_Data!D17),""))</f>
        <v>34676</v>
      </c>
      <c r="F17" s="8" t="str">
        <f>IF(TRIM(CLEAN(Raw_Data!E17))="","Not Provided",TRIM(CLEAN(Raw_Data!E17)))</f>
        <v>1224467198</v>
      </c>
      <c r="G17" s="8" t="str">
        <f>IF(TRIM(CLEAN(Raw_Data!F17))="","Not Provided",LOWER(TRIM(CLEAN(Raw_Data!F17))))</f>
        <v>hussein.younis30@yahoo.com</v>
      </c>
      <c r="H17" s="8" t="str">
        <f>IF(TRIM(CLEAN(Raw_Data!G17))="","Not Provided",PROPER(TRIM(CLEAN(Raw_Data!G17))))</f>
        <v>Aswan</v>
      </c>
      <c r="I17" s="8" t="str">
        <f>IF(TRIM(CLEAN(Raw_Data!H17))="","Not Provided",PROPER(TRIM(CLEAN(Raw_Data!H17))))</f>
        <v>Upper Egypt</v>
      </c>
      <c r="J17" s="8" t="str">
        <f>IF(OR(PROPER(TRIM(CLEAN(Raw_Data!I17)))="Bronze",PROPER(TRIM(CLEAN(Raw_Data!I17)))="Silver",PROPER(TRIM(CLEAN(Raw_Data!I17)))="Gold"),PROPER(TRIM(CLEAN(Raw_Data!I17))),"Unknown")</f>
        <v>Bronze</v>
      </c>
      <c r="K17" s="11" t="str">
        <f>IF(ISNUMBER(Raw_Data!J17),Raw_Data!J17,IFERROR(DATEVALUE(Raw_Data!J17),""))</f>
        <v/>
      </c>
      <c r="L17" s="8" t="str">
        <f t="shared" si="0"/>
        <v>yahoo.com</v>
      </c>
      <c r="M17" s="8" t="str">
        <f t="shared" si="1"/>
        <v>CUS</v>
      </c>
      <c r="N17" s="8" t="str">
        <f t="shared" si="2"/>
        <v>02432</v>
      </c>
      <c r="O17" s="8" t="str">
        <f t="shared" si="3"/>
        <v>7198</v>
      </c>
      <c r="P17" s="8" t="str">
        <f t="shared" si="4"/>
        <v>Hussein Younis - Bronze</v>
      </c>
      <c r="Q17" s="12" t="str">
        <f>IF(B17="","Remove - missing ID",IF(OR(E17="",K17=""),"Remove - invalid date",IF(COUNTIF($B$2:B17,B17)&gt;1,"Remove - duplicate ID","Keep")))</f>
        <v>Remove - invalid date</v>
      </c>
      <c r="R17" s="8" t="str">
        <f t="shared" si="5"/>
        <v>No</v>
      </c>
    </row>
    <row r="18" spans="1:18" x14ac:dyDescent="0.25">
      <c r="A18" s="8">
        <f>ROW(Raw_Data!A18)</f>
        <v>18</v>
      </c>
      <c r="B18" s="8" t="str">
        <f>TRIM(CLEAN(Raw_Data!A18))</f>
        <v>CUS02863</v>
      </c>
      <c r="C18" s="8" t="str">
        <f>IF(TRIM(CLEAN(Raw_Data!B18))="","Not Provided",PROPER(TRIM(CLEAN(Raw_Data!B18))))</f>
        <v>Ramy Ramadan</v>
      </c>
      <c r="D18" s="8" t="str">
        <f>IF(OR(PROPER(TRIM(CLEAN(Raw_Data!C18)))="Male",PROPER(TRIM(CLEAN(Raw_Data!C18)))="Female"),PROPER(TRIM(CLEAN(Raw_Data!C18))),"Unknown")</f>
        <v>Unknown</v>
      </c>
      <c r="E18" s="11">
        <f>IF(ISNUMBER(Raw_Data!D18),Raw_Data!D18,IFERROR(DATEVALUE(Raw_Data!D18),""))</f>
        <v>32650</v>
      </c>
      <c r="F18" s="8" t="str">
        <f>IF(TRIM(CLEAN(Raw_Data!E18))="","Not Provided",TRIM(CLEAN(Raw_Data!E18)))</f>
        <v>1019329244</v>
      </c>
      <c r="G18" s="8" t="str">
        <f>IF(TRIM(CLEAN(Raw_Data!F18))="","Not Provided",LOWER(TRIM(CLEAN(Raw_Data!F18))))</f>
        <v>ramy.ramadan58@yahoo.com</v>
      </c>
      <c r="H18" s="8" t="str">
        <f>IF(TRIM(CLEAN(Raw_Data!G18))="","Not Provided",PROPER(TRIM(CLEAN(Raw_Data!G18))))</f>
        <v>Port Said</v>
      </c>
      <c r="I18" s="8" t="str">
        <f>IF(TRIM(CLEAN(Raw_Data!H18))="","Not Provided",PROPER(TRIM(CLEAN(Raw_Data!H18))))</f>
        <v>Canal Zone</v>
      </c>
      <c r="J18" s="8" t="str">
        <f>IF(OR(PROPER(TRIM(CLEAN(Raw_Data!I18)))="Bronze",PROPER(TRIM(CLEAN(Raw_Data!I18)))="Silver",PROPER(TRIM(CLEAN(Raw_Data!I18)))="Gold"),PROPER(TRIM(CLEAN(Raw_Data!I18))),"Unknown")</f>
        <v>Unknown</v>
      </c>
      <c r="K18" s="11">
        <f>IF(ISNUMBER(Raw_Data!J18),Raw_Data!J18,IFERROR(DATEVALUE(Raw_Data!J18),""))</f>
        <v>45035</v>
      </c>
      <c r="L18" s="8" t="str">
        <f t="shared" si="0"/>
        <v>yahoo.com</v>
      </c>
      <c r="M18" s="8" t="str">
        <f t="shared" si="1"/>
        <v>CUS</v>
      </c>
      <c r="N18" s="8" t="str">
        <f t="shared" si="2"/>
        <v>02863</v>
      </c>
      <c r="O18" s="8" t="str">
        <f t="shared" si="3"/>
        <v>9244</v>
      </c>
      <c r="P18" s="8" t="str">
        <f t="shared" si="4"/>
        <v>Ramy Ramadan - Unknown</v>
      </c>
      <c r="Q18" s="12" t="str">
        <f>IF(B18="","Remove - missing ID",IF(OR(E18="",K18=""),"Remove - invalid date",IF(COUNTIF($B$2:B18,B18)&gt;1,"Remove - duplicate ID","Keep")))</f>
        <v>Keep</v>
      </c>
      <c r="R18" s="8" t="str">
        <f t="shared" si="5"/>
        <v>Yes</v>
      </c>
    </row>
    <row r="19" spans="1:18" x14ac:dyDescent="0.25">
      <c r="A19" s="8">
        <f>ROW(Raw_Data!A19)</f>
        <v>19</v>
      </c>
      <c r="B19" s="8" t="str">
        <f>TRIM(CLEAN(Raw_Data!A19))</f>
        <v>CUS02343</v>
      </c>
      <c r="C19" s="8" t="str">
        <f>IF(TRIM(CLEAN(Raw_Data!B19))="","Not Provided",PROPER(TRIM(CLEAN(Raw_Data!B19))))</f>
        <v>Doha Shaaban</v>
      </c>
      <c r="D19" s="8" t="str">
        <f>IF(OR(PROPER(TRIM(CLEAN(Raw_Data!C19)))="Male",PROPER(TRIM(CLEAN(Raw_Data!C19)))="Female"),PROPER(TRIM(CLEAN(Raw_Data!C19))),"Unknown")</f>
        <v>Female</v>
      </c>
      <c r="E19" s="11">
        <f>IF(ISNUMBER(Raw_Data!D19),Raw_Data!D19,IFERROR(DATEVALUE(Raw_Data!D19),""))</f>
        <v>35936</v>
      </c>
      <c r="F19" s="8" t="str">
        <f>IF(TRIM(CLEAN(Raw_Data!E19))="","Not Provided",TRIM(CLEAN(Raw_Data!E19)))</f>
        <v>1093235590</v>
      </c>
      <c r="G19" s="8" t="str">
        <f>IF(TRIM(CLEAN(Raw_Data!F19))="","Not Provided",LOWER(TRIM(CLEAN(Raw_Data!F19))))</f>
        <v>doha.shaaban46@gmail.com</v>
      </c>
      <c r="H19" s="8" t="str">
        <f>IF(TRIM(CLEAN(Raw_Data!G19))="","Not Provided",PROPER(TRIM(CLEAN(Raw_Data!G19))))</f>
        <v>Cairo</v>
      </c>
      <c r="I19" s="8" t="str">
        <f>IF(TRIM(CLEAN(Raw_Data!H19))="","Not Provided",PROPER(TRIM(CLEAN(Raw_Data!H19))))</f>
        <v>Greater Cairo</v>
      </c>
      <c r="J19" s="8" t="str">
        <f>IF(OR(PROPER(TRIM(CLEAN(Raw_Data!I19)))="Bronze",PROPER(TRIM(CLEAN(Raw_Data!I19)))="Silver",PROPER(TRIM(CLEAN(Raw_Data!I19)))="Gold"),PROPER(TRIM(CLEAN(Raw_Data!I19))),"Unknown")</f>
        <v>Unknown</v>
      </c>
      <c r="K19" s="11">
        <f>IF(ISNUMBER(Raw_Data!J19),Raw_Data!J19,IFERROR(DATEVALUE(Raw_Data!J19),""))</f>
        <v>44792</v>
      </c>
      <c r="L19" s="8" t="str">
        <f t="shared" si="0"/>
        <v>gmail.com</v>
      </c>
      <c r="M19" s="8" t="str">
        <f t="shared" si="1"/>
        <v>CUS</v>
      </c>
      <c r="N19" s="8" t="str">
        <f t="shared" si="2"/>
        <v>02343</v>
      </c>
      <c r="O19" s="8" t="str">
        <f t="shared" si="3"/>
        <v>5590</v>
      </c>
      <c r="P19" s="8" t="str">
        <f t="shared" si="4"/>
        <v>Doha Shaaban - Unknown</v>
      </c>
      <c r="Q19" s="12" t="str">
        <f>IF(B19="","Remove - missing ID",IF(OR(E19="",K19=""),"Remove - invalid date",IF(COUNTIF($B$2:B19,B19)&gt;1,"Remove - duplicate ID","Keep")))</f>
        <v>Keep</v>
      </c>
      <c r="R19" s="8" t="str">
        <f t="shared" si="5"/>
        <v>Yes</v>
      </c>
    </row>
    <row r="20" spans="1:18" x14ac:dyDescent="0.25">
      <c r="A20" s="8">
        <f>ROW(Raw_Data!A20)</f>
        <v>20</v>
      </c>
      <c r="B20" s="8" t="str">
        <f>TRIM(CLEAN(Raw_Data!A20))</f>
        <v>CUS01498</v>
      </c>
      <c r="C20" s="8" t="str">
        <f>IF(TRIM(CLEAN(Raw_Data!B20))="","Not Provided",PROPER(TRIM(CLEAN(Raw_Data!B20))))</f>
        <v>Tarek Ragab</v>
      </c>
      <c r="D20" s="8" t="str">
        <f>IF(OR(PROPER(TRIM(CLEAN(Raw_Data!C20)))="Male",PROPER(TRIM(CLEAN(Raw_Data!C20)))="Female"),PROPER(TRIM(CLEAN(Raw_Data!C20))),"Unknown")</f>
        <v>Male</v>
      </c>
      <c r="E20" s="11">
        <f>IF(ISNUMBER(Raw_Data!D20),Raw_Data!D20,IFERROR(DATEVALUE(Raw_Data!D20),""))</f>
        <v>27080</v>
      </c>
      <c r="F20" s="8" t="str">
        <f>IF(TRIM(CLEAN(Raw_Data!E20))="","Not Provided",TRIM(CLEAN(Raw_Data!E20)))</f>
        <v>1290242618</v>
      </c>
      <c r="G20" s="8" t="str">
        <f>IF(TRIM(CLEAN(Raw_Data!F20))="","Not Provided",LOWER(TRIM(CLEAN(Raw_Data!F20))))</f>
        <v>tarek.ragab11@gmail.com</v>
      </c>
      <c r="H20" s="8" t="str">
        <f>IF(TRIM(CLEAN(Raw_Data!G20))="","Not Provided",PROPER(TRIM(CLEAN(Raw_Data!G20))))</f>
        <v>Alexandria</v>
      </c>
      <c r="I20" s="8" t="str">
        <f>IF(TRIM(CLEAN(Raw_Data!H20))="","Not Provided",PROPER(TRIM(CLEAN(Raw_Data!H20))))</f>
        <v>Alexandria</v>
      </c>
      <c r="J20" s="8" t="str">
        <f>IF(OR(PROPER(TRIM(CLEAN(Raw_Data!I20)))="Bronze",PROPER(TRIM(CLEAN(Raw_Data!I20)))="Silver",PROPER(TRIM(CLEAN(Raw_Data!I20)))="Gold"),PROPER(TRIM(CLEAN(Raw_Data!I20))),"Unknown")</f>
        <v>Silver</v>
      </c>
      <c r="K20" s="11">
        <f>IF(ISNUMBER(Raw_Data!J20),Raw_Data!J20,IFERROR(DATEVALUE(Raw_Data!J20),""))</f>
        <v>44146</v>
      </c>
      <c r="L20" s="8" t="str">
        <f t="shared" si="0"/>
        <v>gmail.com</v>
      </c>
      <c r="M20" s="8" t="str">
        <f t="shared" si="1"/>
        <v>CUS</v>
      </c>
      <c r="N20" s="8" t="str">
        <f t="shared" si="2"/>
        <v>01498</v>
      </c>
      <c r="O20" s="8" t="str">
        <f t="shared" si="3"/>
        <v>2618</v>
      </c>
      <c r="P20" s="8" t="str">
        <f t="shared" si="4"/>
        <v>Tarek Ragab - Silver</v>
      </c>
      <c r="Q20" s="12" t="str">
        <f>IF(B20="","Remove - missing ID",IF(OR(E20="",K20=""),"Remove - invalid date",IF(COUNTIF($B$2:B20,B20)&gt;1,"Remove - duplicate ID","Keep")))</f>
        <v>Keep</v>
      </c>
      <c r="R20" s="8" t="str">
        <f t="shared" si="5"/>
        <v>Yes</v>
      </c>
    </row>
    <row r="21" spans="1:18" x14ac:dyDescent="0.25">
      <c r="A21" s="8">
        <f>ROW(Raw_Data!A21)</f>
        <v>21</v>
      </c>
      <c r="B21" s="8" t="str">
        <f>TRIM(CLEAN(Raw_Data!A21))</f>
        <v>CUS02967</v>
      </c>
      <c r="C21" s="8" t="str">
        <f>IF(TRIM(CLEAN(Raw_Data!B21))="","Not Provided",PROPER(TRIM(CLEAN(Raw_Data!B21))))</f>
        <v>Ibrahim Bakr</v>
      </c>
      <c r="D21" s="8" t="str">
        <f>IF(OR(PROPER(TRIM(CLEAN(Raw_Data!C21)))="Male",PROPER(TRIM(CLEAN(Raw_Data!C21)))="Female"),PROPER(TRIM(CLEAN(Raw_Data!C21))),"Unknown")</f>
        <v>Male</v>
      </c>
      <c r="E21" s="11">
        <f>IF(ISNUMBER(Raw_Data!D21),Raw_Data!D21,IFERROR(DATEVALUE(Raw_Data!D21),""))</f>
        <v>29300</v>
      </c>
      <c r="F21" s="8" t="str">
        <f>IF(TRIM(CLEAN(Raw_Data!E21))="","Not Provided",TRIM(CLEAN(Raw_Data!E21)))</f>
        <v>1221940949</v>
      </c>
      <c r="G21" s="8" t="str">
        <f>IF(TRIM(CLEAN(Raw_Data!F21))="","Not Provided",LOWER(TRIM(CLEAN(Raw_Data!F21))))</f>
        <v>ibrahim.bakr8@outlook.com</v>
      </c>
      <c r="H21" s="8" t="str">
        <f>IF(TRIM(CLEAN(Raw_Data!G21))="","Not Provided",PROPER(TRIM(CLEAN(Raw_Data!G21))))</f>
        <v>Zagazig</v>
      </c>
      <c r="I21" s="8" t="str">
        <f>IF(TRIM(CLEAN(Raw_Data!H21))="","Not Provided",PROPER(TRIM(CLEAN(Raw_Data!H21))))</f>
        <v>Nile Delta</v>
      </c>
      <c r="J21" s="8" t="str">
        <f>IF(OR(PROPER(TRIM(CLEAN(Raw_Data!I21)))="Bronze",PROPER(TRIM(CLEAN(Raw_Data!I21)))="Silver",PROPER(TRIM(CLEAN(Raw_Data!I21)))="Gold"),PROPER(TRIM(CLEAN(Raw_Data!I21))),"Unknown")</f>
        <v>Unknown</v>
      </c>
      <c r="K21" s="11">
        <f>IF(ISNUMBER(Raw_Data!J21),Raw_Data!J21,IFERROR(DATEVALUE(Raw_Data!J21),""))</f>
        <v>44486</v>
      </c>
      <c r="L21" s="8" t="str">
        <f t="shared" si="0"/>
        <v>outlook.com</v>
      </c>
      <c r="M21" s="8" t="str">
        <f t="shared" si="1"/>
        <v>CUS</v>
      </c>
      <c r="N21" s="8" t="str">
        <f t="shared" si="2"/>
        <v>02967</v>
      </c>
      <c r="O21" s="8" t="str">
        <f t="shared" si="3"/>
        <v>0949</v>
      </c>
      <c r="P21" s="8" t="str">
        <f t="shared" si="4"/>
        <v>Ibrahim Bakr - Unknown</v>
      </c>
      <c r="Q21" s="12" t="str">
        <f>IF(B21="","Remove - missing ID",IF(OR(E21="",K21=""),"Remove - invalid date",IF(COUNTIF($B$2:B21,B21)&gt;1,"Remove - duplicate ID","Keep")))</f>
        <v>Keep</v>
      </c>
      <c r="R21" s="8" t="str">
        <f t="shared" si="5"/>
        <v>Yes</v>
      </c>
    </row>
    <row r="22" spans="1:18" x14ac:dyDescent="0.25">
      <c r="A22" s="8">
        <f>ROW(Raw_Data!A22)</f>
        <v>22</v>
      </c>
      <c r="B22" s="8" t="str">
        <f>TRIM(CLEAN(Raw_Data!A22))</f>
        <v>CUS02414</v>
      </c>
      <c r="C22" s="8" t="str">
        <f>IF(TRIM(CLEAN(Raw_Data!B22))="","Not Provided",PROPER(TRIM(CLEAN(Raw_Data!B22))))</f>
        <v>Salma Zaki</v>
      </c>
      <c r="D22" s="8" t="str">
        <f>IF(OR(PROPER(TRIM(CLEAN(Raw_Data!C22)))="Male",PROPER(TRIM(CLEAN(Raw_Data!C22)))="Female"),PROPER(TRIM(CLEAN(Raw_Data!C22))),"Unknown")</f>
        <v>Female</v>
      </c>
      <c r="E22" s="11">
        <f>IF(ISNUMBER(Raw_Data!D22),Raw_Data!D22,IFERROR(DATEVALUE(Raw_Data!D22),""))</f>
        <v>28252</v>
      </c>
      <c r="F22" s="8" t="str">
        <f>IF(TRIM(CLEAN(Raw_Data!E22))="","Not Provided",TRIM(CLEAN(Raw_Data!E22)))</f>
        <v>1095240437</v>
      </c>
      <c r="G22" s="8" t="str">
        <f>IF(TRIM(CLEAN(Raw_Data!F22))="","Not Provided",LOWER(TRIM(CLEAN(Raw_Data!F22))))</f>
        <v>salma.zaki23@hotmail.com</v>
      </c>
      <c r="H22" s="8" t="str">
        <f>IF(TRIM(CLEAN(Raw_Data!G22))="","Not Provided",PROPER(TRIM(CLEAN(Raw_Data!G22))))</f>
        <v>Cairo</v>
      </c>
      <c r="I22" s="8" t="str">
        <f>IF(TRIM(CLEAN(Raw_Data!H22))="","Not Provided",PROPER(TRIM(CLEAN(Raw_Data!H22))))</f>
        <v>Greater Cairo</v>
      </c>
      <c r="J22" s="8" t="str">
        <f>IF(OR(PROPER(TRIM(CLEAN(Raw_Data!I22)))="Bronze",PROPER(TRIM(CLEAN(Raw_Data!I22)))="Silver",PROPER(TRIM(CLEAN(Raw_Data!I22)))="Gold"),PROPER(TRIM(CLEAN(Raw_Data!I22))),"Unknown")</f>
        <v>Bronze</v>
      </c>
      <c r="K22" s="11">
        <f>IF(ISNUMBER(Raw_Data!J22),Raw_Data!J22,IFERROR(DATEVALUE(Raw_Data!J22),""))</f>
        <v>45177</v>
      </c>
      <c r="L22" s="8" t="str">
        <f t="shared" si="0"/>
        <v>hotmail.com</v>
      </c>
      <c r="M22" s="8" t="str">
        <f t="shared" si="1"/>
        <v>CUS</v>
      </c>
      <c r="N22" s="8" t="str">
        <f t="shared" si="2"/>
        <v>02414</v>
      </c>
      <c r="O22" s="8" t="str">
        <f t="shared" si="3"/>
        <v>0437</v>
      </c>
      <c r="P22" s="8" t="str">
        <f t="shared" si="4"/>
        <v>Salma Zaki - Bronze</v>
      </c>
      <c r="Q22" s="12" t="str">
        <f>IF(B22="","Remove - missing ID",IF(OR(E22="",K22=""),"Remove - invalid date",IF(COUNTIF($B$2:B22,B22)&gt;1,"Remove - duplicate ID","Keep")))</f>
        <v>Keep</v>
      </c>
      <c r="R22" s="8" t="str">
        <f t="shared" si="5"/>
        <v>Yes</v>
      </c>
    </row>
    <row r="23" spans="1:18" x14ac:dyDescent="0.25">
      <c r="A23" s="8">
        <f>ROW(Raw_Data!A23)</f>
        <v>23</v>
      </c>
      <c r="B23" s="8" t="str">
        <f>TRIM(CLEAN(Raw_Data!A23))</f>
        <v>CUS02808</v>
      </c>
      <c r="C23" s="8" t="str">
        <f>IF(TRIM(CLEAN(Raw_Data!B23))="","Not Provided",PROPER(TRIM(CLEAN(Raw_Data!B23))))</f>
        <v>Ramy Ali</v>
      </c>
      <c r="D23" s="8" t="str">
        <f>IF(OR(PROPER(TRIM(CLEAN(Raw_Data!C23)))="Male",PROPER(TRIM(CLEAN(Raw_Data!C23)))="Female"),PROPER(TRIM(CLEAN(Raw_Data!C23))),"Unknown")</f>
        <v>Male</v>
      </c>
      <c r="E23" s="11">
        <f>IF(ISNUMBER(Raw_Data!D23),Raw_Data!D23,IFERROR(DATEVALUE(Raw_Data!D23),""))</f>
        <v>34985</v>
      </c>
      <c r="F23" s="8" t="str">
        <f>IF(TRIM(CLEAN(Raw_Data!E23))="","Not Provided",TRIM(CLEAN(Raw_Data!E23)))</f>
        <v>1225235645</v>
      </c>
      <c r="G23" s="8" t="str">
        <f>IF(TRIM(CLEAN(Raw_Data!F23))="","Not Provided",LOWER(TRIM(CLEAN(Raw_Data!F23))))</f>
        <v>ramy.ali33@hotmail.com</v>
      </c>
      <c r="H23" s="8" t="str">
        <f>IF(TRIM(CLEAN(Raw_Data!G23))="","Not Provided",PROPER(TRIM(CLEAN(Raw_Data!G23))))</f>
        <v>Cairo</v>
      </c>
      <c r="I23" s="8" t="str">
        <f>IF(TRIM(CLEAN(Raw_Data!H23))="","Not Provided",PROPER(TRIM(CLEAN(Raw_Data!H23))))</f>
        <v>Greater Cairo</v>
      </c>
      <c r="J23" s="8" t="str">
        <f>IF(OR(PROPER(TRIM(CLEAN(Raw_Data!I23)))="Bronze",PROPER(TRIM(CLEAN(Raw_Data!I23)))="Silver",PROPER(TRIM(CLEAN(Raw_Data!I23)))="Gold"),PROPER(TRIM(CLEAN(Raw_Data!I23))),"Unknown")</f>
        <v>Bronze</v>
      </c>
      <c r="K23" s="11">
        <f>IF(ISNUMBER(Raw_Data!J23),Raw_Data!J23,IFERROR(DATEVALUE(Raw_Data!J23),""))</f>
        <v>44627</v>
      </c>
      <c r="L23" s="8" t="str">
        <f t="shared" si="0"/>
        <v>hotmail.com</v>
      </c>
      <c r="M23" s="8" t="str">
        <f t="shared" si="1"/>
        <v>CUS</v>
      </c>
      <c r="N23" s="8" t="str">
        <f t="shared" si="2"/>
        <v>02808</v>
      </c>
      <c r="O23" s="8" t="str">
        <f t="shared" si="3"/>
        <v>5645</v>
      </c>
      <c r="P23" s="8" t="str">
        <f t="shared" si="4"/>
        <v>Ramy Ali - Bronze</v>
      </c>
      <c r="Q23" s="12" t="str">
        <f>IF(B23="","Remove - missing ID",IF(OR(E23="",K23=""),"Remove - invalid date",IF(COUNTIF($B$2:B23,B23)&gt;1,"Remove - duplicate ID","Keep")))</f>
        <v>Keep</v>
      </c>
      <c r="R23" s="8" t="str">
        <f t="shared" si="5"/>
        <v>Yes</v>
      </c>
    </row>
    <row r="24" spans="1:18" x14ac:dyDescent="0.25">
      <c r="A24" s="8">
        <f>ROW(Raw_Data!A24)</f>
        <v>24</v>
      </c>
      <c r="B24" s="8" t="str">
        <f>TRIM(CLEAN(Raw_Data!A24))</f>
        <v>CUS01284</v>
      </c>
      <c r="C24" s="8" t="str">
        <f>IF(TRIM(CLEAN(Raw_Data!B24))="","Not Provided",PROPER(TRIM(CLEAN(Raw_Data!B24))))</f>
        <v>Hany Khalil</v>
      </c>
      <c r="D24" s="8" t="str">
        <f>IF(OR(PROPER(TRIM(CLEAN(Raw_Data!C24)))="Male",PROPER(TRIM(CLEAN(Raw_Data!C24)))="Female"),PROPER(TRIM(CLEAN(Raw_Data!C24))),"Unknown")</f>
        <v>Male</v>
      </c>
      <c r="E24" s="11">
        <f>IF(ISNUMBER(Raw_Data!D24),Raw_Data!D24,IFERROR(DATEVALUE(Raw_Data!D24),""))</f>
        <v>35454</v>
      </c>
      <c r="F24" s="8" t="str">
        <f>IF(TRIM(CLEAN(Raw_Data!E24))="","Not Provided",TRIM(CLEAN(Raw_Data!E24)))</f>
        <v>1258398175</v>
      </c>
      <c r="G24" s="8" t="str">
        <f>IF(TRIM(CLEAN(Raw_Data!F24))="","Not Provided",LOWER(TRIM(CLEAN(Raw_Data!F24))))</f>
        <v>hany.khalil59@outlook.com</v>
      </c>
      <c r="H24" s="8" t="str">
        <f>IF(TRIM(CLEAN(Raw_Data!G24))="","Not Provided",PROPER(TRIM(CLEAN(Raw_Data!G24))))</f>
        <v>Cairo</v>
      </c>
      <c r="I24" s="8" t="str">
        <f>IF(TRIM(CLEAN(Raw_Data!H24))="","Not Provided",PROPER(TRIM(CLEAN(Raw_Data!H24))))</f>
        <v>Greater Cairo</v>
      </c>
      <c r="J24" s="8" t="str">
        <f>IF(OR(PROPER(TRIM(CLEAN(Raw_Data!I24)))="Bronze",PROPER(TRIM(CLEAN(Raw_Data!I24)))="Silver",PROPER(TRIM(CLEAN(Raw_Data!I24)))="Gold"),PROPER(TRIM(CLEAN(Raw_Data!I24))),"Unknown")</f>
        <v>Bronze</v>
      </c>
      <c r="K24" s="11">
        <f>IF(ISNUMBER(Raw_Data!J24),Raw_Data!J24,IFERROR(DATEVALUE(Raw_Data!J24),""))</f>
        <v>45063</v>
      </c>
      <c r="L24" s="8" t="str">
        <f t="shared" si="0"/>
        <v>outlook.com</v>
      </c>
      <c r="M24" s="8" t="str">
        <f t="shared" si="1"/>
        <v>CUS</v>
      </c>
      <c r="N24" s="8" t="str">
        <f t="shared" si="2"/>
        <v>01284</v>
      </c>
      <c r="O24" s="8" t="str">
        <f t="shared" si="3"/>
        <v>8175</v>
      </c>
      <c r="P24" s="8" t="str">
        <f t="shared" si="4"/>
        <v>Hany Khalil - Bronze</v>
      </c>
      <c r="Q24" s="12" t="str">
        <f>IF(B24="","Remove - missing ID",IF(OR(E24="",K24=""),"Remove - invalid date",IF(COUNTIF($B$2:B24,B24)&gt;1,"Remove - duplicate ID","Keep")))</f>
        <v>Keep</v>
      </c>
      <c r="R24" s="8" t="str">
        <f t="shared" si="5"/>
        <v>Yes</v>
      </c>
    </row>
    <row r="25" spans="1:18" x14ac:dyDescent="0.25">
      <c r="A25" s="8">
        <f>ROW(Raw_Data!A25)</f>
        <v>25</v>
      </c>
      <c r="B25" s="8" t="str">
        <f>TRIM(CLEAN(Raw_Data!A25))</f>
        <v>CUS02869</v>
      </c>
      <c r="C25" s="8" t="str">
        <f>IF(TRIM(CLEAN(Raw_Data!B25))="","Not Provided",PROPER(TRIM(CLEAN(Raw_Data!B25))))</f>
        <v>Engy Attia</v>
      </c>
      <c r="D25" s="8" t="str">
        <f>IF(OR(PROPER(TRIM(CLEAN(Raw_Data!C25)))="Male",PROPER(TRIM(CLEAN(Raw_Data!C25)))="Female"),PROPER(TRIM(CLEAN(Raw_Data!C25))),"Unknown")</f>
        <v>Female</v>
      </c>
      <c r="E25" s="11" t="str">
        <f>IF(ISNUMBER(Raw_Data!D25),Raw_Data!D25,IFERROR(DATEVALUE(Raw_Data!D25),""))</f>
        <v/>
      </c>
      <c r="F25" s="8" t="str">
        <f>IF(TRIM(CLEAN(Raw_Data!E25))="","Not Provided",TRIM(CLEAN(Raw_Data!E25)))</f>
        <v>1027978174</v>
      </c>
      <c r="G25" s="8" t="str">
        <f>IF(TRIM(CLEAN(Raw_Data!F25))="","Not Provided",LOWER(TRIM(CLEAN(Raw_Data!F25))))</f>
        <v>engy.attia68@yahoo.com</v>
      </c>
      <c r="H25" s="8" t="str">
        <f>IF(TRIM(CLEAN(Raw_Data!G25))="","Not Provided",PROPER(TRIM(CLEAN(Raw_Data!G25))))</f>
        <v>Giza</v>
      </c>
      <c r="I25" s="8" t="str">
        <f>IF(TRIM(CLEAN(Raw_Data!H25))="","Not Provided",PROPER(TRIM(CLEAN(Raw_Data!H25))))</f>
        <v>Greater Cairo</v>
      </c>
      <c r="J25" s="8" t="str">
        <f>IF(OR(PROPER(TRIM(CLEAN(Raw_Data!I25)))="Bronze",PROPER(TRIM(CLEAN(Raw_Data!I25)))="Silver",PROPER(TRIM(CLEAN(Raw_Data!I25)))="Gold"),PROPER(TRIM(CLEAN(Raw_Data!I25))),"Unknown")</f>
        <v>Bronze</v>
      </c>
      <c r="K25" s="11">
        <f>IF(ISNUMBER(Raw_Data!J25),Raw_Data!J25,IFERROR(DATEVALUE(Raw_Data!J25),""))</f>
        <v>43837</v>
      </c>
      <c r="L25" s="8" t="str">
        <f t="shared" si="0"/>
        <v>yahoo.com</v>
      </c>
      <c r="M25" s="8" t="str">
        <f t="shared" si="1"/>
        <v>CUS</v>
      </c>
      <c r="N25" s="8" t="str">
        <f t="shared" si="2"/>
        <v>02869</v>
      </c>
      <c r="O25" s="8" t="str">
        <f t="shared" si="3"/>
        <v>8174</v>
      </c>
      <c r="P25" s="8" t="str">
        <f t="shared" si="4"/>
        <v>Engy Attia - Bronze</v>
      </c>
      <c r="Q25" s="12" t="str">
        <f>IF(B25="","Remove - missing ID",IF(OR(E25="",K25=""),"Remove - invalid date",IF(COUNTIF($B$2:B25,B25)&gt;1,"Remove - duplicate ID","Keep")))</f>
        <v>Remove - invalid date</v>
      </c>
      <c r="R25" s="8" t="str">
        <f t="shared" si="5"/>
        <v>No</v>
      </c>
    </row>
    <row r="26" spans="1:18" x14ac:dyDescent="0.25">
      <c r="A26" s="8">
        <f>ROW(Raw_Data!A26)</f>
        <v>26</v>
      </c>
      <c r="B26" s="8" t="str">
        <f>TRIM(CLEAN(Raw_Data!A26))</f>
        <v>CUS00890</v>
      </c>
      <c r="C26" s="8" t="str">
        <f>IF(TRIM(CLEAN(Raw_Data!B26))="","Not Provided",PROPER(TRIM(CLEAN(Raw_Data!B26))))</f>
        <v>Tarek Lotfy</v>
      </c>
      <c r="D26" s="8" t="str">
        <f>IF(OR(PROPER(TRIM(CLEAN(Raw_Data!C26)))="Male",PROPER(TRIM(CLEAN(Raw_Data!C26)))="Female"),PROPER(TRIM(CLEAN(Raw_Data!C26))),"Unknown")</f>
        <v>Male</v>
      </c>
      <c r="E26" s="11">
        <f>IF(ISNUMBER(Raw_Data!D26),Raw_Data!D26,IFERROR(DATEVALUE(Raw_Data!D26),""))</f>
        <v>32574</v>
      </c>
      <c r="F26" s="8" t="str">
        <f>IF(TRIM(CLEAN(Raw_Data!E26))="","Not Provided",TRIM(CLEAN(Raw_Data!E26)))</f>
        <v>1044810342</v>
      </c>
      <c r="G26" s="8" t="str">
        <f>IF(TRIM(CLEAN(Raw_Data!F26))="","Not Provided",LOWER(TRIM(CLEAN(Raw_Data!F26))))</f>
        <v>Not Provided</v>
      </c>
      <c r="H26" s="8" t="str">
        <f>IF(TRIM(CLEAN(Raw_Data!G26))="","Not Provided",PROPER(TRIM(CLEAN(Raw_Data!G26))))</f>
        <v>Cairo</v>
      </c>
      <c r="I26" s="8" t="str">
        <f>IF(TRIM(CLEAN(Raw_Data!H26))="","Not Provided",PROPER(TRIM(CLEAN(Raw_Data!H26))))</f>
        <v>Greater Cairo</v>
      </c>
      <c r="J26" s="8" t="str">
        <f>IF(OR(PROPER(TRIM(CLEAN(Raw_Data!I26)))="Bronze",PROPER(TRIM(CLEAN(Raw_Data!I26)))="Silver",PROPER(TRIM(CLEAN(Raw_Data!I26)))="Gold"),PROPER(TRIM(CLEAN(Raw_Data!I26))),"Unknown")</f>
        <v>Bronze</v>
      </c>
      <c r="K26" s="11">
        <f>IF(ISNUMBER(Raw_Data!J26),Raw_Data!J26,IFERROR(DATEVALUE(Raw_Data!J26),""))</f>
        <v>44940</v>
      </c>
      <c r="L26" s="8" t="str">
        <f t="shared" si="0"/>
        <v/>
      </c>
      <c r="M26" s="8" t="str">
        <f t="shared" si="1"/>
        <v>CUS</v>
      </c>
      <c r="N26" s="8" t="str">
        <f t="shared" si="2"/>
        <v>00890</v>
      </c>
      <c r="O26" s="8" t="str">
        <f t="shared" si="3"/>
        <v>0342</v>
      </c>
      <c r="P26" s="8" t="str">
        <f t="shared" si="4"/>
        <v>Tarek Lotfy - Bronze</v>
      </c>
      <c r="Q26" s="12" t="str">
        <f>IF(B26="","Remove - missing ID",IF(OR(E26="",K26=""),"Remove - invalid date",IF(COUNTIF($B$2:B26,B26)&gt;1,"Remove - duplicate ID","Keep")))</f>
        <v>Keep</v>
      </c>
      <c r="R26" s="8" t="str">
        <f t="shared" si="5"/>
        <v>Yes</v>
      </c>
    </row>
    <row r="27" spans="1:18" x14ac:dyDescent="0.25">
      <c r="A27" s="8">
        <f>ROW(Raw_Data!A27)</f>
        <v>27</v>
      </c>
      <c r="B27" s="8" t="str">
        <f>TRIM(CLEAN(Raw_Data!A27))</f>
        <v>CUS01460</v>
      </c>
      <c r="C27" s="8" t="str">
        <f>IF(TRIM(CLEAN(Raw_Data!B27))="","Not Provided",PROPER(TRIM(CLEAN(Raw_Data!B27))))</f>
        <v>Nour Bakr</v>
      </c>
      <c r="D27" s="8" t="str">
        <f>IF(OR(PROPER(TRIM(CLEAN(Raw_Data!C27)))="Male",PROPER(TRIM(CLEAN(Raw_Data!C27)))="Female"),PROPER(TRIM(CLEAN(Raw_Data!C27))),"Unknown")</f>
        <v>Female</v>
      </c>
      <c r="E27" s="11">
        <f>IF(ISNUMBER(Raw_Data!D27),Raw_Data!D27,IFERROR(DATEVALUE(Raw_Data!D27),""))</f>
        <v>29284</v>
      </c>
      <c r="F27" s="8" t="str">
        <f>IF(TRIM(CLEAN(Raw_Data!E27))="","Not Provided",TRIM(CLEAN(Raw_Data!E27)))</f>
        <v>1126675052</v>
      </c>
      <c r="G27" s="8" t="str">
        <f>IF(TRIM(CLEAN(Raw_Data!F27))="","Not Provided",LOWER(TRIM(CLEAN(Raw_Data!F27))))</f>
        <v>nour.bakr54@hotmail.com</v>
      </c>
      <c r="H27" s="8" t="str">
        <f>IF(TRIM(CLEAN(Raw_Data!G27))="","Not Provided",PROPER(TRIM(CLEAN(Raw_Data!G27))))</f>
        <v>Mansoura</v>
      </c>
      <c r="I27" s="8" t="str">
        <f>IF(TRIM(CLEAN(Raw_Data!H27))="","Not Provided",PROPER(TRIM(CLEAN(Raw_Data!H27))))</f>
        <v>Nile Delta</v>
      </c>
      <c r="J27" s="8" t="str">
        <f>IF(OR(PROPER(TRIM(CLEAN(Raw_Data!I27)))="Bronze",PROPER(TRIM(CLEAN(Raw_Data!I27)))="Silver",PROPER(TRIM(CLEAN(Raw_Data!I27)))="Gold"),PROPER(TRIM(CLEAN(Raw_Data!I27))),"Unknown")</f>
        <v>Silver</v>
      </c>
      <c r="K27" s="11">
        <f>IF(ISNUMBER(Raw_Data!J27),Raw_Data!J27,IFERROR(DATEVALUE(Raw_Data!J27),""))</f>
        <v>44094</v>
      </c>
      <c r="L27" s="8" t="str">
        <f t="shared" si="0"/>
        <v>hotmail.com</v>
      </c>
      <c r="M27" s="8" t="str">
        <f t="shared" si="1"/>
        <v>CUS</v>
      </c>
      <c r="N27" s="8" t="str">
        <f t="shared" si="2"/>
        <v>01460</v>
      </c>
      <c r="O27" s="8" t="str">
        <f t="shared" si="3"/>
        <v>5052</v>
      </c>
      <c r="P27" s="8" t="str">
        <f t="shared" si="4"/>
        <v>Nour Bakr - Silver</v>
      </c>
      <c r="Q27" s="12" t="str">
        <f>IF(B27="","Remove - missing ID",IF(OR(E27="",K27=""),"Remove - invalid date",IF(COUNTIF($B$2:B27,B27)&gt;1,"Remove - duplicate ID","Keep")))</f>
        <v>Keep</v>
      </c>
      <c r="R27" s="8" t="str">
        <f t="shared" si="5"/>
        <v>Yes</v>
      </c>
    </row>
    <row r="28" spans="1:18" x14ac:dyDescent="0.25">
      <c r="A28" s="8">
        <f>ROW(Raw_Data!A28)</f>
        <v>28</v>
      </c>
      <c r="B28" s="8" t="str">
        <f>TRIM(CLEAN(Raw_Data!A28))</f>
        <v>CUS00652</v>
      </c>
      <c r="C28" s="8" t="str">
        <f>IF(TRIM(CLEAN(Raw_Data!B28))="","Not Provided",PROPER(TRIM(CLEAN(Raw_Data!B28))))</f>
        <v>Ramy Mansour</v>
      </c>
      <c r="D28" s="8" t="str">
        <f>IF(OR(PROPER(TRIM(CLEAN(Raw_Data!C28)))="Male",PROPER(TRIM(CLEAN(Raw_Data!C28)))="Female"),PROPER(TRIM(CLEAN(Raw_Data!C28))),"Unknown")</f>
        <v>Male</v>
      </c>
      <c r="E28" s="11">
        <f>IF(ISNUMBER(Raw_Data!D28),Raw_Data!D28,IFERROR(DATEVALUE(Raw_Data!D28),""))</f>
        <v>35566</v>
      </c>
      <c r="F28" s="8" t="str">
        <f>IF(TRIM(CLEAN(Raw_Data!E28))="","Not Provided",TRIM(CLEAN(Raw_Data!E28)))</f>
        <v>1034772080</v>
      </c>
      <c r="G28" s="8" t="str">
        <f>IF(TRIM(CLEAN(Raw_Data!F28))="","Not Provided",LOWER(TRIM(CLEAN(Raw_Data!F28))))</f>
        <v>ramy.mansour11@hotmail.com</v>
      </c>
      <c r="H28" s="8" t="str">
        <f>IF(TRIM(CLEAN(Raw_Data!G28))="","Not Provided",PROPER(TRIM(CLEAN(Raw_Data!G28))))</f>
        <v>Alexandria</v>
      </c>
      <c r="I28" s="8" t="str">
        <f>IF(TRIM(CLEAN(Raw_Data!H28))="","Not Provided",PROPER(TRIM(CLEAN(Raw_Data!H28))))</f>
        <v>Alexandria</v>
      </c>
      <c r="J28" s="8" t="str">
        <f>IF(OR(PROPER(TRIM(CLEAN(Raw_Data!I28)))="Bronze",PROPER(TRIM(CLEAN(Raw_Data!I28)))="Silver",PROPER(TRIM(CLEAN(Raw_Data!I28)))="Gold"),PROPER(TRIM(CLEAN(Raw_Data!I28))),"Unknown")</f>
        <v>Bronze</v>
      </c>
      <c r="K28" s="11">
        <f>IF(ISNUMBER(Raw_Data!J28),Raw_Data!J28,IFERROR(DATEVALUE(Raw_Data!J28),""))</f>
        <v>44974</v>
      </c>
      <c r="L28" s="8" t="str">
        <f t="shared" si="0"/>
        <v>hotmail.com</v>
      </c>
      <c r="M28" s="8" t="str">
        <f t="shared" si="1"/>
        <v>CUS</v>
      </c>
      <c r="N28" s="8" t="str">
        <f t="shared" si="2"/>
        <v>00652</v>
      </c>
      <c r="O28" s="8" t="str">
        <f t="shared" si="3"/>
        <v>2080</v>
      </c>
      <c r="P28" s="8" t="str">
        <f t="shared" si="4"/>
        <v>Ramy Mansour - Bronze</v>
      </c>
      <c r="Q28" s="12" t="str">
        <f>IF(B28="","Remove - missing ID",IF(OR(E28="",K28=""),"Remove - invalid date",IF(COUNTIF($B$2:B28,B28)&gt;1,"Remove - duplicate ID","Keep")))</f>
        <v>Keep</v>
      </c>
      <c r="R28" s="8" t="str">
        <f t="shared" si="5"/>
        <v>Yes</v>
      </c>
    </row>
    <row r="29" spans="1:18" x14ac:dyDescent="0.25">
      <c r="A29" s="8">
        <f>ROW(Raw_Data!A29)</f>
        <v>29</v>
      </c>
      <c r="B29" s="8" t="str">
        <f>TRIM(CLEAN(Raw_Data!A29))</f>
        <v>CUS01437</v>
      </c>
      <c r="C29" s="8" t="str">
        <f>IF(TRIM(CLEAN(Raw_Data!B29))="","Not Provided",PROPER(TRIM(CLEAN(Raw_Data!B29))))</f>
        <v>Yasmin Abdallah</v>
      </c>
      <c r="D29" s="8" t="str">
        <f>IF(OR(PROPER(TRIM(CLEAN(Raw_Data!C29)))="Male",PROPER(TRIM(CLEAN(Raw_Data!C29)))="Female"),PROPER(TRIM(CLEAN(Raw_Data!C29))),"Unknown")</f>
        <v>Female</v>
      </c>
      <c r="E29" s="11">
        <f>IF(ISNUMBER(Raw_Data!D29),Raw_Data!D29,IFERROR(DATEVALUE(Raw_Data!D29),""))</f>
        <v>35285</v>
      </c>
      <c r="F29" s="8" t="str">
        <f>IF(TRIM(CLEAN(Raw_Data!E29))="","Not Provided",TRIM(CLEAN(Raw_Data!E29)))</f>
        <v>1223416165</v>
      </c>
      <c r="G29" s="8" t="str">
        <f>IF(TRIM(CLEAN(Raw_Data!F29))="","Not Provided",LOWER(TRIM(CLEAN(Raw_Data!F29))))</f>
        <v>yasmin.abdallah68@gmail.com</v>
      </c>
      <c r="H29" s="8" t="str">
        <f>IF(TRIM(CLEAN(Raw_Data!G29))="","Not Provided",PROPER(TRIM(CLEAN(Raw_Data!G29))))</f>
        <v>Giza</v>
      </c>
      <c r="I29" s="8" t="str">
        <f>IF(TRIM(CLEAN(Raw_Data!H29))="","Not Provided",PROPER(TRIM(CLEAN(Raw_Data!H29))))</f>
        <v>Greater Cairo</v>
      </c>
      <c r="J29" s="8" t="str">
        <f>IF(OR(PROPER(TRIM(CLEAN(Raw_Data!I29)))="Bronze",PROPER(TRIM(CLEAN(Raw_Data!I29)))="Silver",PROPER(TRIM(CLEAN(Raw_Data!I29)))="Gold"),PROPER(TRIM(CLEAN(Raw_Data!I29))),"Unknown")</f>
        <v>Gold</v>
      </c>
      <c r="K29" s="11">
        <f>IF(ISNUMBER(Raw_Data!J29),Raw_Data!J29,IFERROR(DATEVALUE(Raw_Data!J29),""))</f>
        <v>44816</v>
      </c>
      <c r="L29" s="8" t="str">
        <f t="shared" si="0"/>
        <v>gmail.com</v>
      </c>
      <c r="M29" s="8" t="str">
        <f t="shared" si="1"/>
        <v>CUS</v>
      </c>
      <c r="N29" s="8" t="str">
        <f t="shared" si="2"/>
        <v>01437</v>
      </c>
      <c r="O29" s="8" t="str">
        <f t="shared" si="3"/>
        <v>6165</v>
      </c>
      <c r="P29" s="8" t="str">
        <f t="shared" si="4"/>
        <v>Yasmin Abdallah - Gold</v>
      </c>
      <c r="Q29" s="12" t="str">
        <f>IF(B29="","Remove - missing ID",IF(OR(E29="",K29=""),"Remove - invalid date",IF(COUNTIF($B$2:B29,B29)&gt;1,"Remove - duplicate ID","Keep")))</f>
        <v>Keep</v>
      </c>
      <c r="R29" s="8" t="str">
        <f t="shared" si="5"/>
        <v>Yes</v>
      </c>
    </row>
    <row r="30" spans="1:18" x14ac:dyDescent="0.25">
      <c r="A30" s="8">
        <f>ROW(Raw_Data!A30)</f>
        <v>30</v>
      </c>
      <c r="B30" s="8" t="str">
        <f>TRIM(CLEAN(Raw_Data!A30))</f>
        <v>CUS00555</v>
      </c>
      <c r="C30" s="8" t="str">
        <f>IF(TRIM(CLEAN(Raw_Data!B30))="","Not Provided",PROPER(TRIM(CLEAN(Raw_Data!B30))))</f>
        <v>Omar Ahmed</v>
      </c>
      <c r="D30" s="8" t="str">
        <f>IF(OR(PROPER(TRIM(CLEAN(Raw_Data!C30)))="Male",PROPER(TRIM(CLEAN(Raw_Data!C30)))="Female"),PROPER(TRIM(CLEAN(Raw_Data!C30))),"Unknown")</f>
        <v>Male</v>
      </c>
      <c r="E30" s="11">
        <f>IF(ISNUMBER(Raw_Data!D30),Raw_Data!D30,IFERROR(DATEVALUE(Raw_Data!D30),""))</f>
        <v>28759</v>
      </c>
      <c r="F30" s="8" t="str">
        <f>IF(TRIM(CLEAN(Raw_Data!E30))="","Not Provided",TRIM(CLEAN(Raw_Data!E30)))</f>
        <v>1167096991</v>
      </c>
      <c r="G30" s="8" t="str">
        <f>IF(TRIM(CLEAN(Raw_Data!F30))="","Not Provided",LOWER(TRIM(CLEAN(Raw_Data!F30))))</f>
        <v>Not Provided</v>
      </c>
      <c r="H30" s="8" t="str">
        <f>IF(TRIM(CLEAN(Raw_Data!G30))="","Not Provided",PROPER(TRIM(CLEAN(Raw_Data!G30))))</f>
        <v>Luxor</v>
      </c>
      <c r="I30" s="8" t="str">
        <f>IF(TRIM(CLEAN(Raw_Data!H30))="","Not Provided",PROPER(TRIM(CLEAN(Raw_Data!H30))))</f>
        <v>Upper Egypt</v>
      </c>
      <c r="J30" s="8" t="str">
        <f>IF(OR(PROPER(TRIM(CLEAN(Raw_Data!I30)))="Bronze",PROPER(TRIM(CLEAN(Raw_Data!I30)))="Silver",PROPER(TRIM(CLEAN(Raw_Data!I30)))="Gold"),PROPER(TRIM(CLEAN(Raw_Data!I30))),"Unknown")</f>
        <v>Bronze</v>
      </c>
      <c r="K30" s="11">
        <f>IF(ISNUMBER(Raw_Data!J30),Raw_Data!J30,IFERROR(DATEVALUE(Raw_Data!J30),""))</f>
        <v>45132</v>
      </c>
      <c r="L30" s="8" t="str">
        <f t="shared" si="0"/>
        <v/>
      </c>
      <c r="M30" s="8" t="str">
        <f t="shared" si="1"/>
        <v>CUS</v>
      </c>
      <c r="N30" s="8" t="str">
        <f t="shared" si="2"/>
        <v>00555</v>
      </c>
      <c r="O30" s="8" t="str">
        <f t="shared" si="3"/>
        <v>6991</v>
      </c>
      <c r="P30" s="8" t="str">
        <f t="shared" si="4"/>
        <v>Omar Ahmed - Bronze</v>
      </c>
      <c r="Q30" s="12" t="str">
        <f>IF(B30="","Remove - missing ID",IF(OR(E30="",K30=""),"Remove - invalid date",IF(COUNTIF($B$2:B30,B30)&gt;1,"Remove - duplicate ID","Keep")))</f>
        <v>Keep</v>
      </c>
      <c r="R30" s="8" t="str">
        <f t="shared" si="5"/>
        <v>Yes</v>
      </c>
    </row>
    <row r="31" spans="1:18" x14ac:dyDescent="0.25">
      <c r="A31" s="8">
        <f>ROW(Raw_Data!A31)</f>
        <v>31</v>
      </c>
      <c r="B31" s="8" t="str">
        <f>TRIM(CLEAN(Raw_Data!A31))</f>
        <v>CUS02264</v>
      </c>
      <c r="C31" s="8" t="str">
        <f>IF(TRIM(CLEAN(Raw_Data!B31))="","Not Provided",PROPER(TRIM(CLEAN(Raw_Data!B31))))</f>
        <v>Hussein Hassan</v>
      </c>
      <c r="D31" s="8" t="str">
        <f>IF(OR(PROPER(TRIM(CLEAN(Raw_Data!C31)))="Male",PROPER(TRIM(CLEAN(Raw_Data!C31)))="Female"),PROPER(TRIM(CLEAN(Raw_Data!C31))),"Unknown")</f>
        <v>Male</v>
      </c>
      <c r="E31" s="11">
        <f>IF(ISNUMBER(Raw_Data!D31),Raw_Data!D31,IFERROR(DATEVALUE(Raw_Data!D31),""))</f>
        <v>28380</v>
      </c>
      <c r="F31" s="8" t="str">
        <f>IF(TRIM(CLEAN(Raw_Data!E31))="","Not Provided",TRIM(CLEAN(Raw_Data!E31)))</f>
        <v>1216614286</v>
      </c>
      <c r="G31" s="8" t="str">
        <f>IF(TRIM(CLEAN(Raw_Data!F31))="","Not Provided",LOWER(TRIM(CLEAN(Raw_Data!F31))))</f>
        <v>hussein.hassan95@hotmail.com</v>
      </c>
      <c r="H31" s="8" t="str">
        <f>IF(TRIM(CLEAN(Raw_Data!G31))="","Not Provided",PROPER(TRIM(CLEAN(Raw_Data!G31))))</f>
        <v>Giza</v>
      </c>
      <c r="I31" s="8" t="str">
        <f>IF(TRIM(CLEAN(Raw_Data!H31))="","Not Provided",PROPER(TRIM(CLEAN(Raw_Data!H31))))</f>
        <v>Greater Cairo</v>
      </c>
      <c r="J31" s="8" t="str">
        <f>IF(OR(PROPER(TRIM(CLEAN(Raw_Data!I31)))="Bronze",PROPER(TRIM(CLEAN(Raw_Data!I31)))="Silver",PROPER(TRIM(CLEAN(Raw_Data!I31)))="Gold"),PROPER(TRIM(CLEAN(Raw_Data!I31))),"Unknown")</f>
        <v>Silver</v>
      </c>
      <c r="K31" s="11">
        <f>IF(ISNUMBER(Raw_Data!J31),Raw_Data!J31,IFERROR(DATEVALUE(Raw_Data!J31),""))</f>
        <v>44585</v>
      </c>
      <c r="L31" s="8" t="str">
        <f t="shared" si="0"/>
        <v>hotmail.com</v>
      </c>
      <c r="M31" s="8" t="str">
        <f t="shared" si="1"/>
        <v>CUS</v>
      </c>
      <c r="N31" s="8" t="str">
        <f t="shared" si="2"/>
        <v>02264</v>
      </c>
      <c r="O31" s="8" t="str">
        <f t="shared" si="3"/>
        <v>4286</v>
      </c>
      <c r="P31" s="8" t="str">
        <f t="shared" si="4"/>
        <v>Hussein Hassan - Silver</v>
      </c>
      <c r="Q31" s="12" t="str">
        <f>IF(B31="","Remove - missing ID",IF(OR(E31="",K31=""),"Remove - invalid date",IF(COUNTIF($B$2:B31,B31)&gt;1,"Remove - duplicate ID","Keep")))</f>
        <v>Keep</v>
      </c>
      <c r="R31" s="8" t="str">
        <f t="shared" si="5"/>
        <v>Yes</v>
      </c>
    </row>
    <row r="32" spans="1:18" x14ac:dyDescent="0.25">
      <c r="A32" s="8">
        <f>ROW(Raw_Data!A32)</f>
        <v>32</v>
      </c>
      <c r="B32" s="8" t="str">
        <f>TRIM(CLEAN(Raw_Data!A32))</f>
        <v>CUS00440</v>
      </c>
      <c r="C32" s="8" t="str">
        <f>IF(TRIM(CLEAN(Raw_Data!B32))="","Not Provided",PROPER(TRIM(CLEAN(Raw_Data!B32))))</f>
        <v>Ahmed Zaki</v>
      </c>
      <c r="D32" s="8" t="str">
        <f>IF(OR(PROPER(TRIM(CLEAN(Raw_Data!C32)))="Male",PROPER(TRIM(CLEAN(Raw_Data!C32)))="Female"),PROPER(TRIM(CLEAN(Raw_Data!C32))),"Unknown")</f>
        <v>Male</v>
      </c>
      <c r="E32" s="11">
        <f>IF(ISNUMBER(Raw_Data!D32),Raw_Data!D32,IFERROR(DATEVALUE(Raw_Data!D32),""))</f>
        <v>30201</v>
      </c>
      <c r="F32" s="8" t="str">
        <f>IF(TRIM(CLEAN(Raw_Data!E32))="","Not Provided",TRIM(CLEAN(Raw_Data!E32)))</f>
        <v>1214344197</v>
      </c>
      <c r="G32" s="8" t="str">
        <f>IF(TRIM(CLEAN(Raw_Data!F32))="","Not Provided",LOWER(TRIM(CLEAN(Raw_Data!F32))))</f>
        <v>Not Provided</v>
      </c>
      <c r="H32" s="8" t="str">
        <f>IF(TRIM(CLEAN(Raw_Data!G32))="","Not Provided",PROPER(TRIM(CLEAN(Raw_Data!G32))))</f>
        <v>Cairo</v>
      </c>
      <c r="I32" s="8" t="str">
        <f>IF(TRIM(CLEAN(Raw_Data!H32))="","Not Provided",PROPER(TRIM(CLEAN(Raw_Data!H32))))</f>
        <v>Greater Cairo</v>
      </c>
      <c r="J32" s="8" t="str">
        <f>IF(OR(PROPER(TRIM(CLEAN(Raw_Data!I32)))="Bronze",PROPER(TRIM(CLEAN(Raw_Data!I32)))="Silver",PROPER(TRIM(CLEAN(Raw_Data!I32)))="Gold"),PROPER(TRIM(CLEAN(Raw_Data!I32))),"Unknown")</f>
        <v>Bronze</v>
      </c>
      <c r="K32" s="11">
        <f>IF(ISNUMBER(Raw_Data!J32),Raw_Data!J32,IFERROR(DATEVALUE(Raw_Data!J32),""))</f>
        <v>44928</v>
      </c>
      <c r="L32" s="8" t="str">
        <f t="shared" si="0"/>
        <v/>
      </c>
      <c r="M32" s="8" t="str">
        <f t="shared" si="1"/>
        <v>CUS</v>
      </c>
      <c r="N32" s="8" t="str">
        <f t="shared" si="2"/>
        <v>00440</v>
      </c>
      <c r="O32" s="8" t="str">
        <f t="shared" si="3"/>
        <v>4197</v>
      </c>
      <c r="P32" s="8" t="str">
        <f t="shared" si="4"/>
        <v>Ahmed Zaki - Bronze</v>
      </c>
      <c r="Q32" s="12" t="str">
        <f>IF(B32="","Remove - missing ID",IF(OR(E32="",K32=""),"Remove - invalid date",IF(COUNTIF($B$2:B32,B32)&gt;1,"Remove - duplicate ID","Keep")))</f>
        <v>Keep</v>
      </c>
      <c r="R32" s="8" t="str">
        <f t="shared" si="5"/>
        <v>Yes</v>
      </c>
    </row>
    <row r="33" spans="1:18" x14ac:dyDescent="0.25">
      <c r="A33" s="8">
        <f>ROW(Raw_Data!A33)</f>
        <v>33</v>
      </c>
      <c r="B33" s="8" t="str">
        <f>TRIM(CLEAN(Raw_Data!A33))</f>
        <v>CUS02568</v>
      </c>
      <c r="C33" s="8" t="str">
        <f>IF(TRIM(CLEAN(Raw_Data!B33))="","Not Provided",PROPER(TRIM(CLEAN(Raw_Data!B33))))</f>
        <v>Rana Ismail</v>
      </c>
      <c r="D33" s="8" t="str">
        <f>IF(OR(PROPER(TRIM(CLEAN(Raw_Data!C33)))="Male",PROPER(TRIM(CLEAN(Raw_Data!C33)))="Female"),PROPER(TRIM(CLEAN(Raw_Data!C33))),"Unknown")</f>
        <v>Female</v>
      </c>
      <c r="E33" s="11">
        <f>IF(ISNUMBER(Raw_Data!D33),Raw_Data!D33,IFERROR(DATEVALUE(Raw_Data!D33),""))</f>
        <v>34344</v>
      </c>
      <c r="F33" s="8" t="str">
        <f>IF(TRIM(CLEAN(Raw_Data!E33))="","Not Provided",TRIM(CLEAN(Raw_Data!E33)))</f>
        <v>1046060709</v>
      </c>
      <c r="G33" s="8" t="str">
        <f>IF(TRIM(CLEAN(Raw_Data!F33))="","Not Provided",LOWER(TRIM(CLEAN(Raw_Data!F33))))</f>
        <v>rana.ismail64@gmail.com</v>
      </c>
      <c r="H33" s="8" t="str">
        <f>IF(TRIM(CLEAN(Raw_Data!G33))="","Not Provided",PROPER(TRIM(CLEAN(Raw_Data!G33))))</f>
        <v>Giza</v>
      </c>
      <c r="I33" s="8" t="str">
        <f>IF(TRIM(CLEAN(Raw_Data!H33))="","Not Provided",PROPER(TRIM(CLEAN(Raw_Data!H33))))</f>
        <v>Greater Cairo</v>
      </c>
      <c r="J33" s="8" t="str">
        <f>IF(OR(PROPER(TRIM(CLEAN(Raw_Data!I33)))="Bronze",PROPER(TRIM(CLEAN(Raw_Data!I33)))="Silver",PROPER(TRIM(CLEAN(Raw_Data!I33)))="Gold"),PROPER(TRIM(CLEAN(Raw_Data!I33))),"Unknown")</f>
        <v>Gold</v>
      </c>
      <c r="K33" s="11">
        <f>IF(ISNUMBER(Raw_Data!J33),Raw_Data!J33,IFERROR(DATEVALUE(Raw_Data!J33),""))</f>
        <v>44243</v>
      </c>
      <c r="L33" s="8" t="str">
        <f t="shared" si="0"/>
        <v>gmail.com</v>
      </c>
      <c r="M33" s="8" t="str">
        <f t="shared" si="1"/>
        <v>CUS</v>
      </c>
      <c r="N33" s="8" t="str">
        <f t="shared" si="2"/>
        <v>02568</v>
      </c>
      <c r="O33" s="8" t="str">
        <f t="shared" si="3"/>
        <v>0709</v>
      </c>
      <c r="P33" s="8" t="str">
        <f t="shared" si="4"/>
        <v>Rana Ismail - Gold</v>
      </c>
      <c r="Q33" s="12" t="str">
        <f>IF(B33="","Remove - missing ID",IF(OR(E33="",K33=""),"Remove - invalid date",IF(COUNTIF($B$2:B33,B33)&gt;1,"Remove - duplicate ID","Keep")))</f>
        <v>Keep</v>
      </c>
      <c r="R33" s="8" t="str">
        <f t="shared" si="5"/>
        <v>Yes</v>
      </c>
    </row>
    <row r="34" spans="1:18" x14ac:dyDescent="0.25">
      <c r="A34" s="8">
        <f>ROW(Raw_Data!A34)</f>
        <v>34</v>
      </c>
      <c r="B34" s="8" t="str">
        <f>TRIM(CLEAN(Raw_Data!A34))</f>
        <v>CUS01042</v>
      </c>
      <c r="C34" s="8" t="str">
        <f>IF(TRIM(CLEAN(Raw_Data!B34))="","Not Provided",PROPER(TRIM(CLEAN(Raw_Data!B34))))</f>
        <v>Amr Salem</v>
      </c>
      <c r="D34" s="8" t="str">
        <f>IF(OR(PROPER(TRIM(CLEAN(Raw_Data!C34)))="Male",PROPER(TRIM(CLEAN(Raw_Data!C34)))="Female"),PROPER(TRIM(CLEAN(Raw_Data!C34))),"Unknown")</f>
        <v>Male</v>
      </c>
      <c r="E34" s="11">
        <f>IF(ISNUMBER(Raw_Data!D34),Raw_Data!D34,IFERROR(DATEVALUE(Raw_Data!D34),""))</f>
        <v>37096</v>
      </c>
      <c r="F34" s="8" t="str">
        <f>IF(TRIM(CLEAN(Raw_Data!E34))="","Not Provided",TRIM(CLEAN(Raw_Data!E34)))</f>
        <v>1143524010</v>
      </c>
      <c r="G34" s="8" t="str">
        <f>IF(TRIM(CLEAN(Raw_Data!F34))="","Not Provided",LOWER(TRIM(CLEAN(Raw_Data!F34))))</f>
        <v>amr.salem38@yahoo.com</v>
      </c>
      <c r="H34" s="8" t="str">
        <f>IF(TRIM(CLEAN(Raw_Data!G34))="","Not Provided",PROPER(TRIM(CLEAN(Raw_Data!G34))))</f>
        <v>Hurghada</v>
      </c>
      <c r="I34" s="8" t="str">
        <f>IF(TRIM(CLEAN(Raw_Data!H34))="","Not Provided",PROPER(TRIM(CLEAN(Raw_Data!H34))))</f>
        <v>Red Sea</v>
      </c>
      <c r="J34" s="8" t="str">
        <f>IF(OR(PROPER(TRIM(CLEAN(Raw_Data!I34)))="Bronze",PROPER(TRIM(CLEAN(Raw_Data!I34)))="Silver",PROPER(TRIM(CLEAN(Raw_Data!I34)))="Gold"),PROPER(TRIM(CLEAN(Raw_Data!I34))),"Unknown")</f>
        <v>Bronze</v>
      </c>
      <c r="K34" s="11">
        <f>IF(ISNUMBER(Raw_Data!J34),Raw_Data!J34,IFERROR(DATEVALUE(Raw_Data!J34),""))</f>
        <v>44240</v>
      </c>
      <c r="L34" s="8" t="str">
        <f t="shared" ref="L34:L65" si="6">IFERROR(MID(G34,FIND("@",G34)+1,99),"")</f>
        <v>yahoo.com</v>
      </c>
      <c r="M34" s="8" t="str">
        <f t="shared" ref="M34:M65" si="7">LEFT(B34,3)</f>
        <v>CUS</v>
      </c>
      <c r="N34" s="8" t="str">
        <f t="shared" ref="N34:N65" si="8">IFERROR(MID(B34,4,10),"")</f>
        <v>01042</v>
      </c>
      <c r="O34" s="8" t="str">
        <f t="shared" ref="O34:O65" si="9">RIGHT(F34,4)</f>
        <v>4010</v>
      </c>
      <c r="P34" s="8" t="str">
        <f t="shared" ref="P34:P65" si="10">CONCATENATE(C34," - ",J34)</f>
        <v>Amr Salem - Bronze</v>
      </c>
      <c r="Q34" s="12" t="str">
        <f>IF(B34="","Remove - missing ID",IF(OR(E34="",K34=""),"Remove - invalid date",IF(COUNTIF($B$2:B34,B34)&gt;1,"Remove - duplicate ID","Keep")))</f>
        <v>Keep</v>
      </c>
      <c r="R34" s="8" t="str">
        <f t="shared" ref="R34:R65" si="11">IF(Q34="Keep","Yes","No")</f>
        <v>Yes</v>
      </c>
    </row>
    <row r="35" spans="1:18" x14ac:dyDescent="0.25">
      <c r="A35" s="8">
        <f>ROW(Raw_Data!A35)</f>
        <v>35</v>
      </c>
      <c r="B35" s="8" t="str">
        <f>TRIM(CLEAN(Raw_Data!A35))</f>
        <v>CUS01227</v>
      </c>
      <c r="C35" s="8" t="str">
        <f>IF(TRIM(CLEAN(Raw_Data!B35))="","Not Provided",PROPER(TRIM(CLEAN(Raw_Data!B35))))</f>
        <v>Fady Lotfy</v>
      </c>
      <c r="D35" s="8" t="str">
        <f>IF(OR(PROPER(TRIM(CLEAN(Raw_Data!C35)))="Male",PROPER(TRIM(CLEAN(Raw_Data!C35)))="Female"),PROPER(TRIM(CLEAN(Raw_Data!C35))),"Unknown")</f>
        <v>Male</v>
      </c>
      <c r="E35" s="11">
        <f>IF(ISNUMBER(Raw_Data!D35),Raw_Data!D35,IFERROR(DATEVALUE(Raw_Data!D35),""))</f>
        <v>32591</v>
      </c>
      <c r="F35" s="8" t="str">
        <f>IF(TRIM(CLEAN(Raw_Data!E35))="","Not Provided",TRIM(CLEAN(Raw_Data!E35)))</f>
        <v>1228177418</v>
      </c>
      <c r="G35" s="8" t="str">
        <f>IF(TRIM(CLEAN(Raw_Data!F35))="","Not Provided",LOWER(TRIM(CLEAN(Raw_Data!F35))))</f>
        <v>fady.lotfy20@gmail.com</v>
      </c>
      <c r="H35" s="8" t="str">
        <f>IF(TRIM(CLEAN(Raw_Data!G35))="","Not Provided",PROPER(TRIM(CLEAN(Raw_Data!G35))))</f>
        <v>Giza</v>
      </c>
      <c r="I35" s="8" t="str">
        <f>IF(TRIM(CLEAN(Raw_Data!H35))="","Not Provided",PROPER(TRIM(CLEAN(Raw_Data!H35))))</f>
        <v>Greater Cairo</v>
      </c>
      <c r="J35" s="8" t="str">
        <f>IF(OR(PROPER(TRIM(CLEAN(Raw_Data!I35)))="Bronze",PROPER(TRIM(CLEAN(Raw_Data!I35)))="Silver",PROPER(TRIM(CLEAN(Raw_Data!I35)))="Gold"),PROPER(TRIM(CLEAN(Raw_Data!I35))),"Unknown")</f>
        <v>Gold</v>
      </c>
      <c r="K35" s="11">
        <f>IF(ISNUMBER(Raw_Data!J35),Raw_Data!J35,IFERROR(DATEVALUE(Raw_Data!J35),""))</f>
        <v>44297</v>
      </c>
      <c r="L35" s="8" t="str">
        <f t="shared" si="6"/>
        <v>gmail.com</v>
      </c>
      <c r="M35" s="8" t="str">
        <f t="shared" si="7"/>
        <v>CUS</v>
      </c>
      <c r="N35" s="8" t="str">
        <f t="shared" si="8"/>
        <v>01227</v>
      </c>
      <c r="O35" s="8" t="str">
        <f t="shared" si="9"/>
        <v>7418</v>
      </c>
      <c r="P35" s="8" t="str">
        <f t="shared" si="10"/>
        <v>Fady Lotfy - Gold</v>
      </c>
      <c r="Q35" s="12" t="str">
        <f>IF(B35="","Remove - missing ID",IF(OR(E35="",K35=""),"Remove - invalid date",IF(COUNTIF($B$2:B35,B35)&gt;1,"Remove - duplicate ID","Keep")))</f>
        <v>Keep</v>
      </c>
      <c r="R35" s="8" t="str">
        <f t="shared" si="11"/>
        <v>Yes</v>
      </c>
    </row>
    <row r="36" spans="1:18" x14ac:dyDescent="0.25">
      <c r="A36" s="8">
        <f>ROW(Raw_Data!A36)</f>
        <v>36</v>
      </c>
      <c r="B36" s="8" t="str">
        <f>TRIM(CLEAN(Raw_Data!A36))</f>
        <v>CUS00189</v>
      </c>
      <c r="C36" s="8" t="str">
        <f>IF(TRIM(CLEAN(Raw_Data!B36))="","Not Provided",PROPER(TRIM(CLEAN(Raw_Data!B36))))</f>
        <v>Dina Attia</v>
      </c>
      <c r="D36" s="8" t="str">
        <f>IF(OR(PROPER(TRIM(CLEAN(Raw_Data!C36)))="Male",PROPER(TRIM(CLEAN(Raw_Data!C36)))="Female"),PROPER(TRIM(CLEAN(Raw_Data!C36))),"Unknown")</f>
        <v>Female</v>
      </c>
      <c r="E36" s="11">
        <f>IF(ISNUMBER(Raw_Data!D36),Raw_Data!D36,IFERROR(DATEVALUE(Raw_Data!D36),""))</f>
        <v>28548</v>
      </c>
      <c r="F36" s="8" t="str">
        <f>IF(TRIM(CLEAN(Raw_Data!E36))="","Not Provided",TRIM(CLEAN(Raw_Data!E36)))</f>
        <v>1272850928</v>
      </c>
      <c r="G36" s="8" t="str">
        <f>IF(TRIM(CLEAN(Raw_Data!F36))="","Not Provided",LOWER(TRIM(CLEAN(Raw_Data!F36))))</f>
        <v>dina.attia61@yahoo.com</v>
      </c>
      <c r="H36" s="8" t="str">
        <f>IF(TRIM(CLEAN(Raw_Data!G36))="","Not Provided",PROPER(TRIM(CLEAN(Raw_Data!G36))))</f>
        <v>Alexandria</v>
      </c>
      <c r="I36" s="8" t="str">
        <f>IF(TRIM(CLEAN(Raw_Data!H36))="","Not Provided",PROPER(TRIM(CLEAN(Raw_Data!H36))))</f>
        <v>Alexandria</v>
      </c>
      <c r="J36" s="8" t="str">
        <f>IF(OR(PROPER(TRIM(CLEAN(Raw_Data!I36)))="Bronze",PROPER(TRIM(CLEAN(Raw_Data!I36)))="Silver",PROPER(TRIM(CLEAN(Raw_Data!I36)))="Gold"),PROPER(TRIM(CLEAN(Raw_Data!I36))),"Unknown")</f>
        <v>Gold</v>
      </c>
      <c r="K36" s="11">
        <f>IF(ISNUMBER(Raw_Data!J36),Raw_Data!J36,IFERROR(DATEVALUE(Raw_Data!J36),""))</f>
        <v>44283</v>
      </c>
      <c r="L36" s="8" t="str">
        <f t="shared" si="6"/>
        <v>yahoo.com</v>
      </c>
      <c r="M36" s="8" t="str">
        <f t="shared" si="7"/>
        <v>CUS</v>
      </c>
      <c r="N36" s="8" t="str">
        <f t="shared" si="8"/>
        <v>00189</v>
      </c>
      <c r="O36" s="8" t="str">
        <f t="shared" si="9"/>
        <v>0928</v>
      </c>
      <c r="P36" s="8" t="str">
        <f t="shared" si="10"/>
        <v>Dina Attia - Gold</v>
      </c>
      <c r="Q36" s="12" t="str">
        <f>IF(B36="","Remove - missing ID",IF(OR(E36="",K36=""),"Remove - invalid date",IF(COUNTIF($B$2:B36,B36)&gt;1,"Remove - duplicate ID","Keep")))</f>
        <v>Keep</v>
      </c>
      <c r="R36" s="8" t="str">
        <f t="shared" si="11"/>
        <v>Yes</v>
      </c>
    </row>
    <row r="37" spans="1:18" x14ac:dyDescent="0.25">
      <c r="A37" s="8">
        <f>ROW(Raw_Data!A37)</f>
        <v>37</v>
      </c>
      <c r="B37" s="8" t="str">
        <f>TRIM(CLEAN(Raw_Data!A37))</f>
        <v>CUS01780</v>
      </c>
      <c r="C37" s="8" t="str">
        <f>IF(TRIM(CLEAN(Raw_Data!B37))="","Not Provided",PROPER(TRIM(CLEAN(Raw_Data!B37))))</f>
        <v>Sherif Hamdy</v>
      </c>
      <c r="D37" s="8" t="str">
        <f>IF(OR(PROPER(TRIM(CLEAN(Raw_Data!C37)))="Male",PROPER(TRIM(CLEAN(Raw_Data!C37)))="Female"),PROPER(TRIM(CLEAN(Raw_Data!C37))),"Unknown")</f>
        <v>Male</v>
      </c>
      <c r="E37" s="11">
        <f>IF(ISNUMBER(Raw_Data!D37),Raw_Data!D37,IFERROR(DATEVALUE(Raw_Data!D37),""))</f>
        <v>36205</v>
      </c>
      <c r="F37" s="8" t="str">
        <f>IF(TRIM(CLEAN(Raw_Data!E37))="","Not Provided",TRIM(CLEAN(Raw_Data!E37)))</f>
        <v>1164024116</v>
      </c>
      <c r="G37" s="8" t="str">
        <f>IF(TRIM(CLEAN(Raw_Data!F37))="","Not Provided",LOWER(TRIM(CLEAN(Raw_Data!F37))))</f>
        <v>Not Provided</v>
      </c>
      <c r="H37" s="8" t="str">
        <f>IF(TRIM(CLEAN(Raw_Data!G37))="","Not Provided",PROPER(TRIM(CLEAN(Raw_Data!G37))))</f>
        <v>Aswan</v>
      </c>
      <c r="I37" s="8" t="str">
        <f>IF(TRIM(CLEAN(Raw_Data!H37))="","Not Provided",PROPER(TRIM(CLEAN(Raw_Data!H37))))</f>
        <v>Upper Egypt</v>
      </c>
      <c r="J37" s="8" t="str">
        <f>IF(OR(PROPER(TRIM(CLEAN(Raw_Data!I37)))="Bronze",PROPER(TRIM(CLEAN(Raw_Data!I37)))="Silver",PROPER(TRIM(CLEAN(Raw_Data!I37)))="Gold"),PROPER(TRIM(CLEAN(Raw_Data!I37))),"Unknown")</f>
        <v>Silver</v>
      </c>
      <c r="K37" s="11">
        <f>IF(ISNUMBER(Raw_Data!J37),Raw_Data!J37,IFERROR(DATEVALUE(Raw_Data!J37),""))</f>
        <v>43837</v>
      </c>
      <c r="L37" s="8" t="str">
        <f t="shared" si="6"/>
        <v/>
      </c>
      <c r="M37" s="8" t="str">
        <f t="shared" si="7"/>
        <v>CUS</v>
      </c>
      <c r="N37" s="8" t="str">
        <f t="shared" si="8"/>
        <v>01780</v>
      </c>
      <c r="O37" s="8" t="str">
        <f t="shared" si="9"/>
        <v>4116</v>
      </c>
      <c r="P37" s="8" t="str">
        <f t="shared" si="10"/>
        <v>Sherif Hamdy - Silver</v>
      </c>
      <c r="Q37" s="12" t="str">
        <f>IF(B37="","Remove - missing ID",IF(OR(E37="",K37=""),"Remove - invalid date",IF(COUNTIF($B$2:B37,B37)&gt;1,"Remove - duplicate ID","Keep")))</f>
        <v>Keep</v>
      </c>
      <c r="R37" s="8" t="str">
        <f t="shared" si="11"/>
        <v>Yes</v>
      </c>
    </row>
    <row r="38" spans="1:18" x14ac:dyDescent="0.25">
      <c r="A38" s="8">
        <f>ROW(Raw_Data!A38)</f>
        <v>38</v>
      </c>
      <c r="B38" s="8" t="str">
        <f>TRIM(CLEAN(Raw_Data!A38))</f>
        <v>CUS00496</v>
      </c>
      <c r="C38" s="8" t="str">
        <f>IF(TRIM(CLEAN(Raw_Data!B38))="","Not Provided",PROPER(TRIM(CLEAN(Raw_Data!B38))))</f>
        <v>Nadia Badawi</v>
      </c>
      <c r="D38" s="8" t="str">
        <f>IF(OR(PROPER(TRIM(CLEAN(Raw_Data!C38)))="Male",PROPER(TRIM(CLEAN(Raw_Data!C38)))="Female"),PROPER(TRIM(CLEAN(Raw_Data!C38))),"Unknown")</f>
        <v>Female</v>
      </c>
      <c r="E38" s="11">
        <f>IF(ISNUMBER(Raw_Data!D38),Raw_Data!D38,IFERROR(DATEVALUE(Raw_Data!D38),""))</f>
        <v>28311</v>
      </c>
      <c r="F38" s="8" t="str">
        <f>IF(TRIM(CLEAN(Raw_Data!E38))="","Not Provided",TRIM(CLEAN(Raw_Data!E38)))</f>
        <v>1212906871</v>
      </c>
      <c r="G38" s="8" t="str">
        <f>IF(TRIM(CLEAN(Raw_Data!F38))="","Not Provided",LOWER(TRIM(CLEAN(Raw_Data!F38))))</f>
        <v>nadia.badawi95@yahoo.com</v>
      </c>
      <c r="H38" s="8" t="str">
        <f>IF(TRIM(CLEAN(Raw_Data!G38))="","Not Provided",PROPER(TRIM(CLEAN(Raw_Data!G38))))</f>
        <v>Giza</v>
      </c>
      <c r="I38" s="8" t="str">
        <f>IF(TRIM(CLEAN(Raw_Data!H38))="","Not Provided",PROPER(TRIM(CLEAN(Raw_Data!H38))))</f>
        <v>Greater Cairo</v>
      </c>
      <c r="J38" s="8" t="str">
        <f>IF(OR(PROPER(TRIM(CLEAN(Raw_Data!I38)))="Bronze",PROPER(TRIM(CLEAN(Raw_Data!I38)))="Silver",PROPER(TRIM(CLEAN(Raw_Data!I38)))="Gold"),PROPER(TRIM(CLEAN(Raw_Data!I38))),"Unknown")</f>
        <v>Bronze</v>
      </c>
      <c r="K38" s="11">
        <f>IF(ISNUMBER(Raw_Data!J38),Raw_Data!J38,IFERROR(DATEVALUE(Raw_Data!J38),""))</f>
        <v>45148</v>
      </c>
      <c r="L38" s="8" t="str">
        <f t="shared" si="6"/>
        <v>yahoo.com</v>
      </c>
      <c r="M38" s="8" t="str">
        <f t="shared" si="7"/>
        <v>CUS</v>
      </c>
      <c r="N38" s="8" t="str">
        <f t="shared" si="8"/>
        <v>00496</v>
      </c>
      <c r="O38" s="8" t="str">
        <f t="shared" si="9"/>
        <v>6871</v>
      </c>
      <c r="P38" s="8" t="str">
        <f t="shared" si="10"/>
        <v>Nadia Badawi - Bronze</v>
      </c>
      <c r="Q38" s="12" t="str">
        <f>IF(B38="","Remove - missing ID",IF(OR(E38="",K38=""),"Remove - invalid date",IF(COUNTIF($B$2:B38,B38)&gt;1,"Remove - duplicate ID","Keep")))</f>
        <v>Keep</v>
      </c>
      <c r="R38" s="8" t="str">
        <f t="shared" si="11"/>
        <v>Yes</v>
      </c>
    </row>
    <row r="39" spans="1:18" x14ac:dyDescent="0.25">
      <c r="A39" s="8">
        <f>ROW(Raw_Data!A39)</f>
        <v>39</v>
      </c>
      <c r="B39" s="8" t="str">
        <f>TRIM(CLEAN(Raw_Data!A39))</f>
        <v>CUS00791</v>
      </c>
      <c r="C39" s="8" t="str">
        <f>IF(TRIM(CLEAN(Raw_Data!B39))="","Not Provided",PROPER(TRIM(CLEAN(Raw_Data!B39))))</f>
        <v>Ibrahim Hamdy</v>
      </c>
      <c r="D39" s="8" t="str">
        <f>IF(OR(PROPER(TRIM(CLEAN(Raw_Data!C39)))="Male",PROPER(TRIM(CLEAN(Raw_Data!C39)))="Female"),PROPER(TRIM(CLEAN(Raw_Data!C39))),"Unknown")</f>
        <v>Male</v>
      </c>
      <c r="E39" s="11">
        <f>IF(ISNUMBER(Raw_Data!D39),Raw_Data!D39,IFERROR(DATEVALUE(Raw_Data!D39),""))</f>
        <v>33067</v>
      </c>
      <c r="F39" s="8" t="str">
        <f>IF(TRIM(CLEAN(Raw_Data!E39))="","Not Provided",TRIM(CLEAN(Raw_Data!E39)))</f>
        <v>1279641006</v>
      </c>
      <c r="G39" s="8" t="str">
        <f>IF(TRIM(CLEAN(Raw_Data!F39))="","Not Provided",LOWER(TRIM(CLEAN(Raw_Data!F39))))</f>
        <v>ibrahim.hamdy27@outlook.com</v>
      </c>
      <c r="H39" s="8" t="str">
        <f>IF(TRIM(CLEAN(Raw_Data!G39))="","Not Provided",PROPER(TRIM(CLEAN(Raw_Data!G39))))</f>
        <v>Cairo</v>
      </c>
      <c r="I39" s="8" t="str">
        <f>IF(TRIM(CLEAN(Raw_Data!H39))="","Not Provided",PROPER(TRIM(CLEAN(Raw_Data!H39))))</f>
        <v>Greater Cairo</v>
      </c>
      <c r="J39" s="8" t="str">
        <f>IF(OR(PROPER(TRIM(CLEAN(Raw_Data!I39)))="Bronze",PROPER(TRIM(CLEAN(Raw_Data!I39)))="Silver",PROPER(TRIM(CLEAN(Raw_Data!I39)))="Gold"),PROPER(TRIM(CLEAN(Raw_Data!I39))),"Unknown")</f>
        <v>Silver</v>
      </c>
      <c r="K39" s="11">
        <f>IF(ISNUMBER(Raw_Data!J39),Raw_Data!J39,IFERROR(DATEVALUE(Raw_Data!J39),""))</f>
        <v>44679</v>
      </c>
      <c r="L39" s="8" t="str">
        <f t="shared" si="6"/>
        <v>outlook.com</v>
      </c>
      <c r="M39" s="8" t="str">
        <f t="shared" si="7"/>
        <v>CUS</v>
      </c>
      <c r="N39" s="8" t="str">
        <f t="shared" si="8"/>
        <v>00791</v>
      </c>
      <c r="O39" s="8" t="str">
        <f t="shared" si="9"/>
        <v>1006</v>
      </c>
      <c r="P39" s="8" t="str">
        <f t="shared" si="10"/>
        <v>Ibrahim Hamdy - Silver</v>
      </c>
      <c r="Q39" s="12" t="str">
        <f>IF(B39="","Remove - missing ID",IF(OR(E39="",K39=""),"Remove - invalid date",IF(COUNTIF($B$2:B39,B39)&gt;1,"Remove - duplicate ID","Keep")))</f>
        <v>Keep</v>
      </c>
      <c r="R39" s="8" t="str">
        <f t="shared" si="11"/>
        <v>Yes</v>
      </c>
    </row>
    <row r="40" spans="1:18" x14ac:dyDescent="0.25">
      <c r="A40" s="8">
        <f>ROW(Raw_Data!A40)</f>
        <v>40</v>
      </c>
      <c r="B40" s="8" t="str">
        <f>TRIM(CLEAN(Raw_Data!A40))</f>
        <v>CUS00573</v>
      </c>
      <c r="C40" s="8" t="str">
        <f>IF(TRIM(CLEAN(Raw_Data!B40))="","Not Provided",PROPER(TRIM(CLEAN(Raw_Data!B40))))</f>
        <v>Manar Ibrahim</v>
      </c>
      <c r="D40" s="8" t="str">
        <f>IF(OR(PROPER(TRIM(CLEAN(Raw_Data!C40)))="Male",PROPER(TRIM(CLEAN(Raw_Data!C40)))="Female"),PROPER(TRIM(CLEAN(Raw_Data!C40))),"Unknown")</f>
        <v>Female</v>
      </c>
      <c r="E40" s="11">
        <f>IF(ISNUMBER(Raw_Data!D40),Raw_Data!D40,IFERROR(DATEVALUE(Raw_Data!D40),""))</f>
        <v>33838</v>
      </c>
      <c r="F40" s="8" t="str">
        <f>IF(TRIM(CLEAN(Raw_Data!E40))="","Not Provided",TRIM(CLEAN(Raw_Data!E40)))</f>
        <v>1288709162</v>
      </c>
      <c r="G40" s="8" t="str">
        <f>IF(TRIM(CLEAN(Raw_Data!F40))="","Not Provided",LOWER(TRIM(CLEAN(Raw_Data!F40))))</f>
        <v>manar.ibrahim47@hotmail.com</v>
      </c>
      <c r="H40" s="8" t="str">
        <f>IF(TRIM(CLEAN(Raw_Data!G40))="","Not Provided",PROPER(TRIM(CLEAN(Raw_Data!G40))))</f>
        <v>Giza</v>
      </c>
      <c r="I40" s="8" t="str">
        <f>IF(TRIM(CLEAN(Raw_Data!H40))="","Not Provided",PROPER(TRIM(CLEAN(Raw_Data!H40))))</f>
        <v>Greater Cairo</v>
      </c>
      <c r="J40" s="8" t="str">
        <f>IF(OR(PROPER(TRIM(CLEAN(Raw_Data!I40)))="Bronze",PROPER(TRIM(CLEAN(Raw_Data!I40)))="Silver",PROPER(TRIM(CLEAN(Raw_Data!I40)))="Gold"),PROPER(TRIM(CLEAN(Raw_Data!I40))),"Unknown")</f>
        <v>Silver</v>
      </c>
      <c r="K40" s="11">
        <f>IF(ISNUMBER(Raw_Data!J40),Raw_Data!J40,IFERROR(DATEVALUE(Raw_Data!J40),""))</f>
        <v>44124</v>
      </c>
      <c r="L40" s="8" t="str">
        <f t="shared" si="6"/>
        <v>hotmail.com</v>
      </c>
      <c r="M40" s="8" t="str">
        <f t="shared" si="7"/>
        <v>CUS</v>
      </c>
      <c r="N40" s="8" t="str">
        <f t="shared" si="8"/>
        <v>00573</v>
      </c>
      <c r="O40" s="8" t="str">
        <f t="shared" si="9"/>
        <v>9162</v>
      </c>
      <c r="P40" s="8" t="str">
        <f t="shared" si="10"/>
        <v>Manar Ibrahim - Silver</v>
      </c>
      <c r="Q40" s="12" t="str">
        <f>IF(B40="","Remove - missing ID",IF(OR(E40="",K40=""),"Remove - invalid date",IF(COUNTIF($B$2:B40,B40)&gt;1,"Remove - duplicate ID","Keep")))</f>
        <v>Keep</v>
      </c>
      <c r="R40" s="8" t="str">
        <f t="shared" si="11"/>
        <v>Yes</v>
      </c>
    </row>
    <row r="41" spans="1:18" x14ac:dyDescent="0.25">
      <c r="A41" s="8">
        <f>ROW(Raw_Data!A41)</f>
        <v>41</v>
      </c>
      <c r="B41" s="8" t="str">
        <f>TRIM(CLEAN(Raw_Data!A41))</f>
        <v>CUS02191</v>
      </c>
      <c r="C41" s="8" t="str">
        <f>IF(TRIM(CLEAN(Raw_Data!B41))="","Not Provided",PROPER(TRIM(CLEAN(Raw_Data!B41))))</f>
        <v>Hoda Younis</v>
      </c>
      <c r="D41" s="8" t="str">
        <f>IF(OR(PROPER(TRIM(CLEAN(Raw_Data!C41)))="Male",PROPER(TRIM(CLEAN(Raw_Data!C41)))="Female"),PROPER(TRIM(CLEAN(Raw_Data!C41))),"Unknown")</f>
        <v>Female</v>
      </c>
      <c r="E41" s="11">
        <f>IF(ISNUMBER(Raw_Data!D41),Raw_Data!D41,IFERROR(DATEVALUE(Raw_Data!D41),""))</f>
        <v>32063</v>
      </c>
      <c r="F41" s="8" t="str">
        <f>IF(TRIM(CLEAN(Raw_Data!E41))="","Not Provided",TRIM(CLEAN(Raw_Data!E41)))</f>
        <v>1160605064</v>
      </c>
      <c r="G41" s="8" t="str">
        <f>IF(TRIM(CLEAN(Raw_Data!F41))="","Not Provided",LOWER(TRIM(CLEAN(Raw_Data!F41))))</f>
        <v>hoda.younis8@hotmail.com</v>
      </c>
      <c r="H41" s="8" t="str">
        <f>IF(TRIM(CLEAN(Raw_Data!G41))="","Not Provided",PROPER(TRIM(CLEAN(Raw_Data!G41))))</f>
        <v>Cairo</v>
      </c>
      <c r="I41" s="8" t="str">
        <f>IF(TRIM(CLEAN(Raw_Data!H41))="","Not Provided",PROPER(TRIM(CLEAN(Raw_Data!H41))))</f>
        <v>Greater Cairo</v>
      </c>
      <c r="J41" s="8" t="str">
        <f>IF(OR(PROPER(TRIM(CLEAN(Raw_Data!I41)))="Bronze",PROPER(TRIM(CLEAN(Raw_Data!I41)))="Silver",PROPER(TRIM(CLEAN(Raw_Data!I41)))="Gold"),PROPER(TRIM(CLEAN(Raw_Data!I41))),"Unknown")</f>
        <v>Bronze</v>
      </c>
      <c r="K41" s="11">
        <f>IF(ISNUMBER(Raw_Data!J41),Raw_Data!J41,IFERROR(DATEVALUE(Raw_Data!J41),""))</f>
        <v>45050</v>
      </c>
      <c r="L41" s="8" t="str">
        <f t="shared" si="6"/>
        <v>hotmail.com</v>
      </c>
      <c r="M41" s="8" t="str">
        <f t="shared" si="7"/>
        <v>CUS</v>
      </c>
      <c r="N41" s="8" t="str">
        <f t="shared" si="8"/>
        <v>02191</v>
      </c>
      <c r="O41" s="8" t="str">
        <f t="shared" si="9"/>
        <v>5064</v>
      </c>
      <c r="P41" s="8" t="str">
        <f t="shared" si="10"/>
        <v>Hoda Younis - Bronze</v>
      </c>
      <c r="Q41" s="12" t="str">
        <f>IF(B41="","Remove - missing ID",IF(OR(E41="",K41=""),"Remove - invalid date",IF(COUNTIF($B$2:B41,B41)&gt;1,"Remove - duplicate ID","Keep")))</f>
        <v>Keep</v>
      </c>
      <c r="R41" s="8" t="str">
        <f t="shared" si="11"/>
        <v>Yes</v>
      </c>
    </row>
    <row r="42" spans="1:18" x14ac:dyDescent="0.25">
      <c r="A42" s="8">
        <f>ROW(Raw_Data!A42)</f>
        <v>42</v>
      </c>
      <c r="B42" s="8" t="str">
        <f>TRIM(CLEAN(Raw_Data!A42))</f>
        <v>CUS01711</v>
      </c>
      <c r="C42" s="8" t="str">
        <f>IF(TRIM(CLEAN(Raw_Data!B42))="","Not Provided",PROPER(TRIM(CLEAN(Raw_Data!B42))))</f>
        <v>Hana Badawi</v>
      </c>
      <c r="D42" s="8" t="str">
        <f>IF(OR(PROPER(TRIM(CLEAN(Raw_Data!C42)))="Male",PROPER(TRIM(CLEAN(Raw_Data!C42)))="Female"),PROPER(TRIM(CLEAN(Raw_Data!C42))),"Unknown")</f>
        <v>Female</v>
      </c>
      <c r="E42" s="11">
        <f>IF(ISNUMBER(Raw_Data!D42),Raw_Data!D42,IFERROR(DATEVALUE(Raw_Data!D42),""))</f>
        <v>32168</v>
      </c>
      <c r="F42" s="8" t="str">
        <f>IF(TRIM(CLEAN(Raw_Data!E42))="","Not Provided",TRIM(CLEAN(Raw_Data!E42)))</f>
        <v>1259175761</v>
      </c>
      <c r="G42" s="8" t="str">
        <f>IF(TRIM(CLEAN(Raw_Data!F42))="","Not Provided",LOWER(TRIM(CLEAN(Raw_Data!F42))))</f>
        <v>hana.badawi79@yahoo.com</v>
      </c>
      <c r="H42" s="8" t="str">
        <f>IF(TRIM(CLEAN(Raw_Data!G42))="","Not Provided",PROPER(TRIM(CLEAN(Raw_Data!G42))))</f>
        <v>Cairo</v>
      </c>
      <c r="I42" s="8" t="str">
        <f>IF(TRIM(CLEAN(Raw_Data!H42))="","Not Provided",PROPER(TRIM(CLEAN(Raw_Data!H42))))</f>
        <v>Greater Cairo</v>
      </c>
      <c r="J42" s="8" t="str">
        <f>IF(OR(PROPER(TRIM(CLEAN(Raw_Data!I42)))="Bronze",PROPER(TRIM(CLEAN(Raw_Data!I42)))="Silver",PROPER(TRIM(CLEAN(Raw_Data!I42)))="Gold"),PROPER(TRIM(CLEAN(Raw_Data!I42))),"Unknown")</f>
        <v>Silver</v>
      </c>
      <c r="K42" s="11">
        <f>IF(ISNUMBER(Raw_Data!J42),Raw_Data!J42,IFERROR(DATEVALUE(Raw_Data!J42),""))</f>
        <v>45133</v>
      </c>
      <c r="L42" s="8" t="str">
        <f t="shared" si="6"/>
        <v>yahoo.com</v>
      </c>
      <c r="M42" s="8" t="str">
        <f t="shared" si="7"/>
        <v>CUS</v>
      </c>
      <c r="N42" s="8" t="str">
        <f t="shared" si="8"/>
        <v>01711</v>
      </c>
      <c r="O42" s="8" t="str">
        <f t="shared" si="9"/>
        <v>5761</v>
      </c>
      <c r="P42" s="8" t="str">
        <f t="shared" si="10"/>
        <v>Hana Badawi - Silver</v>
      </c>
      <c r="Q42" s="12" t="str">
        <f>IF(B42="","Remove - missing ID",IF(OR(E42="",K42=""),"Remove - invalid date",IF(COUNTIF($B$2:B42,B42)&gt;1,"Remove - duplicate ID","Keep")))</f>
        <v>Keep</v>
      </c>
      <c r="R42" s="8" t="str">
        <f t="shared" si="11"/>
        <v>Yes</v>
      </c>
    </row>
    <row r="43" spans="1:18" x14ac:dyDescent="0.25">
      <c r="A43" s="8">
        <f>ROW(Raw_Data!A43)</f>
        <v>43</v>
      </c>
      <c r="B43" s="8" t="str">
        <f>TRIM(CLEAN(Raw_Data!A43))</f>
        <v>CUS00832</v>
      </c>
      <c r="C43" s="8" t="str">
        <f>IF(TRIM(CLEAN(Raw_Data!B43))="","Not Provided",PROPER(TRIM(CLEAN(Raw_Data!B43))))</f>
        <v>Rania Ahmed</v>
      </c>
      <c r="D43" s="8" t="str">
        <f>IF(OR(PROPER(TRIM(CLEAN(Raw_Data!C43)))="Male",PROPER(TRIM(CLEAN(Raw_Data!C43)))="Female"),PROPER(TRIM(CLEAN(Raw_Data!C43))),"Unknown")</f>
        <v>Female</v>
      </c>
      <c r="E43" s="11">
        <f>IF(ISNUMBER(Raw_Data!D43),Raw_Data!D43,IFERROR(DATEVALUE(Raw_Data!D43),""))</f>
        <v>28076</v>
      </c>
      <c r="F43" s="8" t="str">
        <f>IF(TRIM(CLEAN(Raw_Data!E43))="","Not Provided",TRIM(CLEAN(Raw_Data!E43)))</f>
        <v>1112423190</v>
      </c>
      <c r="G43" s="8" t="str">
        <f>IF(TRIM(CLEAN(Raw_Data!F43))="","Not Provided",LOWER(TRIM(CLEAN(Raw_Data!F43))))</f>
        <v>rania.ahmed91@gmail.com</v>
      </c>
      <c r="H43" s="8" t="str">
        <f>IF(TRIM(CLEAN(Raw_Data!G43))="","Not Provided",PROPER(TRIM(CLEAN(Raw_Data!G43))))</f>
        <v>Giza</v>
      </c>
      <c r="I43" s="8" t="str">
        <f>IF(TRIM(CLEAN(Raw_Data!H43))="","Not Provided",PROPER(TRIM(CLEAN(Raw_Data!H43))))</f>
        <v>Greater Cairo</v>
      </c>
      <c r="J43" s="8" t="str">
        <f>IF(OR(PROPER(TRIM(CLEAN(Raw_Data!I43)))="Bronze",PROPER(TRIM(CLEAN(Raw_Data!I43)))="Silver",PROPER(TRIM(CLEAN(Raw_Data!I43)))="Gold"),PROPER(TRIM(CLEAN(Raw_Data!I43))),"Unknown")</f>
        <v>Bronze</v>
      </c>
      <c r="K43" s="11">
        <f>IF(ISNUMBER(Raw_Data!J43),Raw_Data!J43,IFERROR(DATEVALUE(Raw_Data!J43),""))</f>
        <v>44700</v>
      </c>
      <c r="L43" s="8" t="str">
        <f t="shared" si="6"/>
        <v>gmail.com</v>
      </c>
      <c r="M43" s="8" t="str">
        <f t="shared" si="7"/>
        <v>CUS</v>
      </c>
      <c r="N43" s="8" t="str">
        <f t="shared" si="8"/>
        <v>00832</v>
      </c>
      <c r="O43" s="8" t="str">
        <f t="shared" si="9"/>
        <v>3190</v>
      </c>
      <c r="P43" s="8" t="str">
        <f t="shared" si="10"/>
        <v>Rania Ahmed - Bronze</v>
      </c>
      <c r="Q43" s="12" t="str">
        <f>IF(B43="","Remove - missing ID",IF(OR(E43="",K43=""),"Remove - invalid date",IF(COUNTIF($B$2:B43,B43)&gt;1,"Remove - duplicate ID","Keep")))</f>
        <v>Keep</v>
      </c>
      <c r="R43" s="8" t="str">
        <f t="shared" si="11"/>
        <v>Yes</v>
      </c>
    </row>
    <row r="44" spans="1:18" x14ac:dyDescent="0.25">
      <c r="A44" s="8">
        <f>ROW(Raw_Data!A44)</f>
        <v>44</v>
      </c>
      <c r="B44" s="8" t="str">
        <f>TRIM(CLEAN(Raw_Data!A44))</f>
        <v>CUS00360</v>
      </c>
      <c r="C44" s="8" t="str">
        <f>IF(TRIM(CLEAN(Raw_Data!B44))="","Not Provided",PROPER(TRIM(CLEAN(Raw_Data!B44))))</f>
        <v>Heba Lotfy</v>
      </c>
      <c r="D44" s="8" t="str">
        <f>IF(OR(PROPER(TRIM(CLEAN(Raw_Data!C44)))="Male",PROPER(TRIM(CLEAN(Raw_Data!C44)))="Female"),PROPER(TRIM(CLEAN(Raw_Data!C44))),"Unknown")</f>
        <v>Female</v>
      </c>
      <c r="E44" s="11">
        <f>IF(ISNUMBER(Raw_Data!D44),Raw_Data!D44,IFERROR(DATEVALUE(Raw_Data!D44),""))</f>
        <v>32722</v>
      </c>
      <c r="F44" s="8" t="str">
        <f>IF(TRIM(CLEAN(Raw_Data!E44))="","Not Provided",TRIM(CLEAN(Raw_Data!E44)))</f>
        <v>1210626224</v>
      </c>
      <c r="G44" s="8" t="str">
        <f>IF(TRIM(CLEAN(Raw_Data!F44))="","Not Provided",LOWER(TRIM(CLEAN(Raw_Data!F44))))</f>
        <v>heba.lotfy31@yahoo.com</v>
      </c>
      <c r="H44" s="8" t="str">
        <f>IF(TRIM(CLEAN(Raw_Data!G44))="","Not Provided",PROPER(TRIM(CLEAN(Raw_Data!G44))))</f>
        <v>Alexandria</v>
      </c>
      <c r="I44" s="8" t="str">
        <f>IF(TRIM(CLEAN(Raw_Data!H44))="","Not Provided",PROPER(TRIM(CLEAN(Raw_Data!H44))))</f>
        <v>Alexandria</v>
      </c>
      <c r="J44" s="8" t="str">
        <f>IF(OR(PROPER(TRIM(CLEAN(Raw_Data!I44)))="Bronze",PROPER(TRIM(CLEAN(Raw_Data!I44)))="Silver",PROPER(TRIM(CLEAN(Raw_Data!I44)))="Gold"),PROPER(TRIM(CLEAN(Raw_Data!I44))),"Unknown")</f>
        <v>Bronze</v>
      </c>
      <c r="K44" s="11">
        <f>IF(ISNUMBER(Raw_Data!J44),Raw_Data!J44,IFERROR(DATEVALUE(Raw_Data!J44),""))</f>
        <v>43844</v>
      </c>
      <c r="L44" s="8" t="str">
        <f t="shared" si="6"/>
        <v>yahoo.com</v>
      </c>
      <c r="M44" s="8" t="str">
        <f t="shared" si="7"/>
        <v>CUS</v>
      </c>
      <c r="N44" s="8" t="str">
        <f t="shared" si="8"/>
        <v>00360</v>
      </c>
      <c r="O44" s="8" t="str">
        <f t="shared" si="9"/>
        <v>6224</v>
      </c>
      <c r="P44" s="8" t="str">
        <f t="shared" si="10"/>
        <v>Heba Lotfy - Bronze</v>
      </c>
      <c r="Q44" s="12" t="str">
        <f>IF(B44="","Remove - missing ID",IF(OR(E44="",K44=""),"Remove - invalid date",IF(COUNTIF($B$2:B44,B44)&gt;1,"Remove - duplicate ID","Keep")))</f>
        <v>Keep</v>
      </c>
      <c r="R44" s="8" t="str">
        <f t="shared" si="11"/>
        <v>Yes</v>
      </c>
    </row>
    <row r="45" spans="1:18" x14ac:dyDescent="0.25">
      <c r="A45" s="8">
        <f>ROW(Raw_Data!A45)</f>
        <v>45</v>
      </c>
      <c r="B45" s="8" t="str">
        <f>TRIM(CLEAN(Raw_Data!A45))</f>
        <v>CUS02620</v>
      </c>
      <c r="C45" s="8" t="str">
        <f>IF(TRIM(CLEAN(Raw_Data!B45))="","Not Provided",PROPER(TRIM(CLEAN(Raw_Data!B45))))</f>
        <v>Essam Salem</v>
      </c>
      <c r="D45" s="8" t="str">
        <f>IF(OR(PROPER(TRIM(CLEAN(Raw_Data!C45)))="Male",PROPER(TRIM(CLEAN(Raw_Data!C45)))="Female"),PROPER(TRIM(CLEAN(Raw_Data!C45))),"Unknown")</f>
        <v>Male</v>
      </c>
      <c r="E45" s="11">
        <f>IF(ISNUMBER(Raw_Data!D45),Raw_Data!D45,IFERROR(DATEVALUE(Raw_Data!D45),""))</f>
        <v>30133</v>
      </c>
      <c r="F45" s="8" t="str">
        <f>IF(TRIM(CLEAN(Raw_Data!E45))="","Not Provided",TRIM(CLEAN(Raw_Data!E45)))</f>
        <v>1178042648</v>
      </c>
      <c r="G45" s="8" t="str">
        <f>IF(TRIM(CLEAN(Raw_Data!F45))="","Not Provided",LOWER(TRIM(CLEAN(Raw_Data!F45))))</f>
        <v>essam.salem29@yahoo.com</v>
      </c>
      <c r="H45" s="8" t="str">
        <f>IF(TRIM(CLEAN(Raw_Data!G45))="","Not Provided",PROPER(TRIM(CLEAN(Raw_Data!G45))))</f>
        <v>Giza</v>
      </c>
      <c r="I45" s="8" t="str">
        <f>IF(TRIM(CLEAN(Raw_Data!H45))="","Not Provided",PROPER(TRIM(CLEAN(Raw_Data!H45))))</f>
        <v>Greater Cairo</v>
      </c>
      <c r="J45" s="8" t="str">
        <f>IF(OR(PROPER(TRIM(CLEAN(Raw_Data!I45)))="Bronze",PROPER(TRIM(CLEAN(Raw_Data!I45)))="Silver",PROPER(TRIM(CLEAN(Raw_Data!I45)))="Gold"),PROPER(TRIM(CLEAN(Raw_Data!I45))),"Unknown")</f>
        <v>Gold</v>
      </c>
      <c r="K45" s="11">
        <f>IF(ISNUMBER(Raw_Data!J45),Raw_Data!J45,IFERROR(DATEVALUE(Raw_Data!J45),""))</f>
        <v>44099</v>
      </c>
      <c r="L45" s="8" t="str">
        <f t="shared" si="6"/>
        <v>yahoo.com</v>
      </c>
      <c r="M45" s="8" t="str">
        <f t="shared" si="7"/>
        <v>CUS</v>
      </c>
      <c r="N45" s="8" t="str">
        <f t="shared" si="8"/>
        <v>02620</v>
      </c>
      <c r="O45" s="8" t="str">
        <f t="shared" si="9"/>
        <v>2648</v>
      </c>
      <c r="P45" s="8" t="str">
        <f t="shared" si="10"/>
        <v>Essam Salem - Gold</v>
      </c>
      <c r="Q45" s="12" t="str">
        <f>IF(B45="","Remove - missing ID",IF(OR(E45="",K45=""),"Remove - invalid date",IF(COUNTIF($B$2:B45,B45)&gt;1,"Remove - duplicate ID","Keep")))</f>
        <v>Keep</v>
      </c>
      <c r="R45" s="8" t="str">
        <f t="shared" si="11"/>
        <v>Yes</v>
      </c>
    </row>
    <row r="46" spans="1:18" x14ac:dyDescent="0.25">
      <c r="A46" s="8">
        <f>ROW(Raw_Data!A46)</f>
        <v>46</v>
      </c>
      <c r="B46" s="8" t="str">
        <f>TRIM(CLEAN(Raw_Data!A46))</f>
        <v>CUS02008</v>
      </c>
      <c r="C46" s="8" t="str">
        <f>IF(TRIM(CLEAN(Raw_Data!B46))="","Not Provided",PROPER(TRIM(CLEAN(Raw_Data!B46))))</f>
        <v>Dalia Gamal</v>
      </c>
      <c r="D46" s="8" t="str">
        <f>IF(OR(PROPER(TRIM(CLEAN(Raw_Data!C46)))="Male",PROPER(TRIM(CLEAN(Raw_Data!C46)))="Female"),PROPER(TRIM(CLEAN(Raw_Data!C46))),"Unknown")</f>
        <v>Female</v>
      </c>
      <c r="E46" s="11">
        <f>IF(ISNUMBER(Raw_Data!D46),Raw_Data!D46,IFERROR(DATEVALUE(Raw_Data!D46),""))</f>
        <v>28349</v>
      </c>
      <c r="F46" s="8" t="str">
        <f>IF(TRIM(CLEAN(Raw_Data!E46))="","Not Provided",TRIM(CLEAN(Raw_Data!E46)))</f>
        <v>1193356597</v>
      </c>
      <c r="G46" s="8" t="str">
        <f>IF(TRIM(CLEAN(Raw_Data!F46))="","Not Provided",LOWER(TRIM(CLEAN(Raw_Data!F46))))</f>
        <v>dalia.gamal68@gmail.com</v>
      </c>
      <c r="H46" s="8" t="str">
        <f>IF(TRIM(CLEAN(Raw_Data!G46))="","Not Provided",PROPER(TRIM(CLEAN(Raw_Data!G46))))</f>
        <v>Hurghada</v>
      </c>
      <c r="I46" s="8" t="str">
        <f>IF(TRIM(CLEAN(Raw_Data!H46))="","Not Provided",PROPER(TRIM(CLEAN(Raw_Data!H46))))</f>
        <v>Red Sea</v>
      </c>
      <c r="J46" s="8" t="str">
        <f>IF(OR(PROPER(TRIM(CLEAN(Raw_Data!I46)))="Bronze",PROPER(TRIM(CLEAN(Raw_Data!I46)))="Silver",PROPER(TRIM(CLEAN(Raw_Data!I46)))="Gold"),PROPER(TRIM(CLEAN(Raw_Data!I46))),"Unknown")</f>
        <v>Bronze</v>
      </c>
      <c r="K46" s="11">
        <f>IF(ISNUMBER(Raw_Data!J46),Raw_Data!J46,IFERROR(DATEVALUE(Raw_Data!J46),""))</f>
        <v>44946</v>
      </c>
      <c r="L46" s="8" t="str">
        <f t="shared" si="6"/>
        <v>gmail.com</v>
      </c>
      <c r="M46" s="8" t="str">
        <f t="shared" si="7"/>
        <v>CUS</v>
      </c>
      <c r="N46" s="8" t="str">
        <f t="shared" si="8"/>
        <v>02008</v>
      </c>
      <c r="O46" s="8" t="str">
        <f t="shared" si="9"/>
        <v>6597</v>
      </c>
      <c r="P46" s="8" t="str">
        <f t="shared" si="10"/>
        <v>Dalia Gamal - Bronze</v>
      </c>
      <c r="Q46" s="12" t="str">
        <f>IF(B46="","Remove - missing ID",IF(OR(E46="",K46=""),"Remove - invalid date",IF(COUNTIF($B$2:B46,B46)&gt;1,"Remove - duplicate ID","Keep")))</f>
        <v>Keep</v>
      </c>
      <c r="R46" s="8" t="str">
        <f t="shared" si="11"/>
        <v>Yes</v>
      </c>
    </row>
    <row r="47" spans="1:18" x14ac:dyDescent="0.25">
      <c r="A47" s="8">
        <f>ROW(Raw_Data!A47)</f>
        <v>47</v>
      </c>
      <c r="B47" s="8" t="str">
        <f>TRIM(CLEAN(Raw_Data!A47))</f>
        <v>CUS00569</v>
      </c>
      <c r="C47" s="8" t="str">
        <f>IF(TRIM(CLEAN(Raw_Data!B47))="","Not Provided",PROPER(TRIM(CLEAN(Raw_Data!B47))))</f>
        <v>Ghada Gouda</v>
      </c>
      <c r="D47" s="8" t="str">
        <f>IF(OR(PROPER(TRIM(CLEAN(Raw_Data!C47)))="Male",PROPER(TRIM(CLEAN(Raw_Data!C47)))="Female"),PROPER(TRIM(CLEAN(Raw_Data!C47))),"Unknown")</f>
        <v>Female</v>
      </c>
      <c r="E47" s="11">
        <f>IF(ISNUMBER(Raw_Data!D47),Raw_Data!D47,IFERROR(DATEVALUE(Raw_Data!D47),""))</f>
        <v>34821</v>
      </c>
      <c r="F47" s="8" t="str">
        <f>IF(TRIM(CLEAN(Raw_Data!E47))="","Not Provided",TRIM(CLEAN(Raw_Data!E47)))</f>
        <v>1078043121</v>
      </c>
      <c r="G47" s="8" t="str">
        <f>IF(TRIM(CLEAN(Raw_Data!F47))="","Not Provided",LOWER(TRIM(CLEAN(Raw_Data!F47))))</f>
        <v>ghada.gouda76@gmail.com</v>
      </c>
      <c r="H47" s="8" t="str">
        <f>IF(TRIM(CLEAN(Raw_Data!G47))="","Not Provided",PROPER(TRIM(CLEAN(Raw_Data!G47))))</f>
        <v>Suez</v>
      </c>
      <c r="I47" s="8" t="str">
        <f>IF(TRIM(CLEAN(Raw_Data!H47))="","Not Provided",PROPER(TRIM(CLEAN(Raw_Data!H47))))</f>
        <v>Canal Zone</v>
      </c>
      <c r="J47" s="8" t="str">
        <f>IF(OR(PROPER(TRIM(CLEAN(Raw_Data!I47)))="Bronze",PROPER(TRIM(CLEAN(Raw_Data!I47)))="Silver",PROPER(TRIM(CLEAN(Raw_Data!I47)))="Gold"),PROPER(TRIM(CLEAN(Raw_Data!I47))),"Unknown")</f>
        <v>Gold</v>
      </c>
      <c r="K47" s="11">
        <f>IF(ISNUMBER(Raw_Data!J47),Raw_Data!J47,IFERROR(DATEVALUE(Raw_Data!J47),""))</f>
        <v>44445</v>
      </c>
      <c r="L47" s="8" t="str">
        <f t="shared" si="6"/>
        <v>gmail.com</v>
      </c>
      <c r="M47" s="8" t="str">
        <f t="shared" si="7"/>
        <v>CUS</v>
      </c>
      <c r="N47" s="8" t="str">
        <f t="shared" si="8"/>
        <v>00569</v>
      </c>
      <c r="O47" s="8" t="str">
        <f t="shared" si="9"/>
        <v>3121</v>
      </c>
      <c r="P47" s="8" t="str">
        <f t="shared" si="10"/>
        <v>Ghada Gouda - Gold</v>
      </c>
      <c r="Q47" s="12" t="str">
        <f>IF(B47="","Remove - missing ID",IF(OR(E47="",K47=""),"Remove - invalid date",IF(COUNTIF($B$2:B47,B47)&gt;1,"Remove - duplicate ID","Keep")))</f>
        <v>Keep</v>
      </c>
      <c r="R47" s="8" t="str">
        <f t="shared" si="11"/>
        <v>Yes</v>
      </c>
    </row>
    <row r="48" spans="1:18" x14ac:dyDescent="0.25">
      <c r="A48" s="8">
        <f>ROW(Raw_Data!A48)</f>
        <v>48</v>
      </c>
      <c r="B48" s="8" t="str">
        <f>TRIM(CLEAN(Raw_Data!A48))</f>
        <v>CUS00103</v>
      </c>
      <c r="C48" s="8" t="str">
        <f>IF(TRIM(CLEAN(Raw_Data!B48))="","Not Provided",PROPER(TRIM(CLEAN(Raw_Data!B48))))</f>
        <v>Doha Ramadan</v>
      </c>
      <c r="D48" s="8" t="str">
        <f>IF(OR(PROPER(TRIM(CLEAN(Raw_Data!C48)))="Male",PROPER(TRIM(CLEAN(Raw_Data!C48)))="Female"),PROPER(TRIM(CLEAN(Raw_Data!C48))),"Unknown")</f>
        <v>Female</v>
      </c>
      <c r="E48" s="11">
        <f>IF(ISNUMBER(Raw_Data!D48),Raw_Data!D48,IFERROR(DATEVALUE(Raw_Data!D48),""))</f>
        <v>29231</v>
      </c>
      <c r="F48" s="8" t="str">
        <f>IF(TRIM(CLEAN(Raw_Data!E48))="","Not Provided",TRIM(CLEAN(Raw_Data!E48)))</f>
        <v>1039732676</v>
      </c>
      <c r="G48" s="8" t="str">
        <f>IF(TRIM(CLEAN(Raw_Data!F48))="","Not Provided",LOWER(TRIM(CLEAN(Raw_Data!F48))))</f>
        <v>doha.ramadan87@hotmail.com</v>
      </c>
      <c r="H48" s="8" t="str">
        <f>IF(TRIM(CLEAN(Raw_Data!G48))="","Not Provided",PROPER(TRIM(CLEAN(Raw_Data!G48))))</f>
        <v>Giza</v>
      </c>
      <c r="I48" s="8" t="str">
        <f>IF(TRIM(CLEAN(Raw_Data!H48))="","Not Provided",PROPER(TRIM(CLEAN(Raw_Data!H48))))</f>
        <v>Greater Cairo</v>
      </c>
      <c r="J48" s="8" t="str">
        <f>IF(OR(PROPER(TRIM(CLEAN(Raw_Data!I48)))="Bronze",PROPER(TRIM(CLEAN(Raw_Data!I48)))="Silver",PROPER(TRIM(CLEAN(Raw_Data!I48)))="Gold"),PROPER(TRIM(CLEAN(Raw_Data!I48))),"Unknown")</f>
        <v>Bronze</v>
      </c>
      <c r="K48" s="11">
        <f>IF(ISNUMBER(Raw_Data!J48),Raw_Data!J48,IFERROR(DATEVALUE(Raw_Data!J48),""))</f>
        <v>45153</v>
      </c>
      <c r="L48" s="8" t="str">
        <f t="shared" si="6"/>
        <v>hotmail.com</v>
      </c>
      <c r="M48" s="8" t="str">
        <f t="shared" si="7"/>
        <v>CUS</v>
      </c>
      <c r="N48" s="8" t="str">
        <f t="shared" si="8"/>
        <v>00103</v>
      </c>
      <c r="O48" s="8" t="str">
        <f t="shared" si="9"/>
        <v>2676</v>
      </c>
      <c r="P48" s="8" t="str">
        <f t="shared" si="10"/>
        <v>Doha Ramadan - Bronze</v>
      </c>
      <c r="Q48" s="12" t="str">
        <f>IF(B48="","Remove - missing ID",IF(OR(E48="",K48=""),"Remove - invalid date",IF(COUNTIF($B$2:B48,B48)&gt;1,"Remove - duplicate ID","Keep")))</f>
        <v>Keep</v>
      </c>
      <c r="R48" s="8" t="str">
        <f t="shared" si="11"/>
        <v>Yes</v>
      </c>
    </row>
    <row r="49" spans="1:18" x14ac:dyDescent="0.25">
      <c r="A49" s="8">
        <f>ROW(Raw_Data!A49)</f>
        <v>49</v>
      </c>
      <c r="B49" s="8" t="str">
        <f>TRIM(CLEAN(Raw_Data!A49))</f>
        <v>CUS01584</v>
      </c>
      <c r="C49" s="8" t="str">
        <f>IF(TRIM(CLEAN(Raw_Data!B49))="","Not Provided",PROPER(TRIM(CLEAN(Raw_Data!B49))))</f>
        <v>Adel Hamdy</v>
      </c>
      <c r="D49" s="8" t="str">
        <f>IF(OR(PROPER(TRIM(CLEAN(Raw_Data!C49)))="Male",PROPER(TRIM(CLEAN(Raw_Data!C49)))="Female"),PROPER(TRIM(CLEAN(Raw_Data!C49))),"Unknown")</f>
        <v>Male</v>
      </c>
      <c r="E49" s="11">
        <f>IF(ISNUMBER(Raw_Data!D49),Raw_Data!D49,IFERROR(DATEVALUE(Raw_Data!D49),""))</f>
        <v>35143</v>
      </c>
      <c r="F49" s="8" t="str">
        <f>IF(TRIM(CLEAN(Raw_Data!E49))="","Not Provided",TRIM(CLEAN(Raw_Data!E49)))</f>
        <v>1073604365</v>
      </c>
      <c r="G49" s="8" t="str">
        <f>IF(TRIM(CLEAN(Raw_Data!F49))="","Not Provided",LOWER(TRIM(CLEAN(Raw_Data!F49))))</f>
        <v>Not Provided</v>
      </c>
      <c r="H49" s="8" t="str">
        <f>IF(TRIM(CLEAN(Raw_Data!G49))="","Not Provided",PROPER(TRIM(CLEAN(Raw_Data!G49))))</f>
        <v>Alexandria</v>
      </c>
      <c r="I49" s="8" t="str">
        <f>IF(TRIM(CLEAN(Raw_Data!H49))="","Not Provided",PROPER(TRIM(CLEAN(Raw_Data!H49))))</f>
        <v>Alexandria</v>
      </c>
      <c r="J49" s="8" t="str">
        <f>IF(OR(PROPER(TRIM(CLEAN(Raw_Data!I49)))="Bronze",PROPER(TRIM(CLEAN(Raw_Data!I49)))="Silver",PROPER(TRIM(CLEAN(Raw_Data!I49)))="Gold"),PROPER(TRIM(CLEAN(Raw_Data!I49))),"Unknown")</f>
        <v>Silver</v>
      </c>
      <c r="K49" s="11">
        <f>IF(ISNUMBER(Raw_Data!J49),Raw_Data!J49,IFERROR(DATEVALUE(Raw_Data!J49),""))</f>
        <v>43928</v>
      </c>
      <c r="L49" s="8" t="str">
        <f t="shared" si="6"/>
        <v/>
      </c>
      <c r="M49" s="8" t="str">
        <f t="shared" si="7"/>
        <v>CUS</v>
      </c>
      <c r="N49" s="8" t="str">
        <f t="shared" si="8"/>
        <v>01584</v>
      </c>
      <c r="O49" s="8" t="str">
        <f t="shared" si="9"/>
        <v>4365</v>
      </c>
      <c r="P49" s="8" t="str">
        <f t="shared" si="10"/>
        <v>Adel Hamdy - Silver</v>
      </c>
      <c r="Q49" s="12" t="str">
        <f>IF(B49="","Remove - missing ID",IF(OR(E49="",K49=""),"Remove - invalid date",IF(COUNTIF($B$2:B49,B49)&gt;1,"Remove - duplicate ID","Keep")))</f>
        <v>Keep</v>
      </c>
      <c r="R49" s="8" t="str">
        <f t="shared" si="11"/>
        <v>Yes</v>
      </c>
    </row>
    <row r="50" spans="1:18" x14ac:dyDescent="0.25">
      <c r="A50" s="8">
        <f>ROW(Raw_Data!A50)</f>
        <v>50</v>
      </c>
      <c r="B50" s="8" t="str">
        <f>TRIM(CLEAN(Raw_Data!A50))</f>
        <v>CUS02287</v>
      </c>
      <c r="C50" s="8" t="str">
        <f>IF(TRIM(CLEAN(Raw_Data!B50))="","Not Provided",PROPER(TRIM(CLEAN(Raw_Data!B50))))</f>
        <v>Engy Gouda</v>
      </c>
      <c r="D50" s="8" t="str">
        <f>IF(OR(PROPER(TRIM(CLEAN(Raw_Data!C50)))="Male",PROPER(TRIM(CLEAN(Raw_Data!C50)))="Female"),PROPER(TRIM(CLEAN(Raw_Data!C50))),"Unknown")</f>
        <v>Female</v>
      </c>
      <c r="E50" s="11">
        <f>IF(ISNUMBER(Raw_Data!D50),Raw_Data!D50,IFERROR(DATEVALUE(Raw_Data!D50),""))</f>
        <v>28496</v>
      </c>
      <c r="F50" s="8" t="str">
        <f>IF(TRIM(CLEAN(Raw_Data!E50))="","Not Provided",TRIM(CLEAN(Raw_Data!E50)))</f>
        <v>1115247808</v>
      </c>
      <c r="G50" s="8" t="str">
        <f>IF(TRIM(CLEAN(Raw_Data!F50))="","Not Provided",LOWER(TRIM(CLEAN(Raw_Data!F50))))</f>
        <v>engy.gouda79@gmail.com</v>
      </c>
      <c r="H50" s="8" t="str">
        <f>IF(TRIM(CLEAN(Raw_Data!G50))="","Not Provided",PROPER(TRIM(CLEAN(Raw_Data!G50))))</f>
        <v>Ismailia</v>
      </c>
      <c r="I50" s="8" t="str">
        <f>IF(TRIM(CLEAN(Raw_Data!H50))="","Not Provided",PROPER(TRIM(CLEAN(Raw_Data!H50))))</f>
        <v>Canal Zone</v>
      </c>
      <c r="J50" s="8" t="str">
        <f>IF(OR(PROPER(TRIM(CLEAN(Raw_Data!I50)))="Bronze",PROPER(TRIM(CLEAN(Raw_Data!I50)))="Silver",PROPER(TRIM(CLEAN(Raw_Data!I50)))="Gold"),PROPER(TRIM(CLEAN(Raw_Data!I50))),"Unknown")</f>
        <v>Gold</v>
      </c>
      <c r="K50" s="11">
        <f>IF(ISNUMBER(Raw_Data!J50),Raw_Data!J50,IFERROR(DATEVALUE(Raw_Data!J50),""))</f>
        <v>44153</v>
      </c>
      <c r="L50" s="8" t="str">
        <f t="shared" si="6"/>
        <v>gmail.com</v>
      </c>
      <c r="M50" s="8" t="str">
        <f t="shared" si="7"/>
        <v>CUS</v>
      </c>
      <c r="N50" s="8" t="str">
        <f t="shared" si="8"/>
        <v>02287</v>
      </c>
      <c r="O50" s="8" t="str">
        <f t="shared" si="9"/>
        <v>7808</v>
      </c>
      <c r="P50" s="8" t="str">
        <f t="shared" si="10"/>
        <v>Engy Gouda - Gold</v>
      </c>
      <c r="Q50" s="12" t="str">
        <f>IF(B50="","Remove - missing ID",IF(OR(E50="",K50=""),"Remove - invalid date",IF(COUNTIF($B$2:B50,B50)&gt;1,"Remove - duplicate ID","Keep")))</f>
        <v>Keep</v>
      </c>
      <c r="R50" s="8" t="str">
        <f t="shared" si="11"/>
        <v>Yes</v>
      </c>
    </row>
    <row r="51" spans="1:18" x14ac:dyDescent="0.25">
      <c r="A51" s="8">
        <f>ROW(Raw_Data!A51)</f>
        <v>51</v>
      </c>
      <c r="B51" s="8" t="str">
        <f>TRIM(CLEAN(Raw_Data!A51))</f>
        <v>CUS02013</v>
      </c>
      <c r="C51" s="8" t="str">
        <f>IF(TRIM(CLEAN(Raw_Data!B51))="","Not Provided",PROPER(TRIM(CLEAN(Raw_Data!B51))))</f>
        <v>Zeinab Wahba</v>
      </c>
      <c r="D51" s="8" t="str">
        <f>IF(OR(PROPER(TRIM(CLEAN(Raw_Data!C51)))="Male",PROPER(TRIM(CLEAN(Raw_Data!C51)))="Female"),PROPER(TRIM(CLEAN(Raw_Data!C51))),"Unknown")</f>
        <v>Female</v>
      </c>
      <c r="E51" s="11">
        <f>IF(ISNUMBER(Raw_Data!D51),Raw_Data!D51,IFERROR(DATEVALUE(Raw_Data!D51),""))</f>
        <v>34223</v>
      </c>
      <c r="F51" s="8" t="str">
        <f>IF(TRIM(CLEAN(Raw_Data!E51))="","Not Provided",TRIM(CLEAN(Raw_Data!E51)))</f>
        <v>1146337178</v>
      </c>
      <c r="G51" s="8" t="str">
        <f>IF(TRIM(CLEAN(Raw_Data!F51))="","Not Provided",LOWER(TRIM(CLEAN(Raw_Data!F51))))</f>
        <v>zeinab.wahba56@outlook.com</v>
      </c>
      <c r="H51" s="8" t="str">
        <f>IF(TRIM(CLEAN(Raw_Data!G51))="","Not Provided",PROPER(TRIM(CLEAN(Raw_Data!G51))))</f>
        <v>Suez</v>
      </c>
      <c r="I51" s="8" t="str">
        <f>IF(TRIM(CLEAN(Raw_Data!H51))="","Not Provided",PROPER(TRIM(CLEAN(Raw_Data!H51))))</f>
        <v>Canal Zone</v>
      </c>
      <c r="J51" s="8" t="str">
        <f>IF(OR(PROPER(TRIM(CLEAN(Raw_Data!I51)))="Bronze",PROPER(TRIM(CLEAN(Raw_Data!I51)))="Silver",PROPER(TRIM(CLEAN(Raw_Data!I51)))="Gold"),PROPER(TRIM(CLEAN(Raw_Data!I51))),"Unknown")</f>
        <v>Gold</v>
      </c>
      <c r="K51" s="11">
        <f>IF(ISNUMBER(Raw_Data!J51),Raw_Data!J51,IFERROR(DATEVALUE(Raw_Data!J51),""))</f>
        <v>44387</v>
      </c>
      <c r="L51" s="8" t="str">
        <f t="shared" si="6"/>
        <v>outlook.com</v>
      </c>
      <c r="M51" s="8" t="str">
        <f t="shared" si="7"/>
        <v>CUS</v>
      </c>
      <c r="N51" s="8" t="str">
        <f t="shared" si="8"/>
        <v>02013</v>
      </c>
      <c r="O51" s="8" t="str">
        <f t="shared" si="9"/>
        <v>7178</v>
      </c>
      <c r="P51" s="8" t="str">
        <f t="shared" si="10"/>
        <v>Zeinab Wahba - Gold</v>
      </c>
      <c r="Q51" s="12" t="str">
        <f>IF(B51="","Remove - missing ID",IF(OR(E51="",K51=""),"Remove - invalid date",IF(COUNTIF($B$2:B51,B51)&gt;1,"Remove - duplicate ID","Keep")))</f>
        <v>Keep</v>
      </c>
      <c r="R51" s="8" t="str">
        <f t="shared" si="11"/>
        <v>Yes</v>
      </c>
    </row>
    <row r="52" spans="1:18" x14ac:dyDescent="0.25">
      <c r="A52" s="8">
        <f>ROW(Raw_Data!A52)</f>
        <v>52</v>
      </c>
      <c r="B52" s="8" t="str">
        <f>TRIM(CLEAN(Raw_Data!A52))</f>
        <v>CUS02663</v>
      </c>
      <c r="C52" s="8" t="str">
        <f>IF(TRIM(CLEAN(Raw_Data!B52))="","Not Provided",PROPER(TRIM(CLEAN(Raw_Data!B52))))</f>
        <v>Emad Khalil</v>
      </c>
      <c r="D52" s="8" t="str">
        <f>IF(OR(PROPER(TRIM(CLEAN(Raw_Data!C52)))="Male",PROPER(TRIM(CLEAN(Raw_Data!C52)))="Female"),PROPER(TRIM(CLEAN(Raw_Data!C52))),"Unknown")</f>
        <v>Male</v>
      </c>
      <c r="E52" s="11">
        <f>IF(ISNUMBER(Raw_Data!D52),Raw_Data!D52,IFERROR(DATEVALUE(Raw_Data!D52),""))</f>
        <v>29876</v>
      </c>
      <c r="F52" s="8" t="str">
        <f>IF(TRIM(CLEAN(Raw_Data!E52))="","Not Provided",TRIM(CLEAN(Raw_Data!E52)))</f>
        <v>1099277799</v>
      </c>
      <c r="G52" s="8" t="str">
        <f>IF(TRIM(CLEAN(Raw_Data!F52))="","Not Provided",LOWER(TRIM(CLEAN(Raw_Data!F52))))</f>
        <v>emad.khalil79@outlook.com</v>
      </c>
      <c r="H52" s="8" t="str">
        <f>IF(TRIM(CLEAN(Raw_Data!G52))="","Not Provided",PROPER(TRIM(CLEAN(Raw_Data!G52))))</f>
        <v>Cairo</v>
      </c>
      <c r="I52" s="8" t="str">
        <f>IF(TRIM(CLEAN(Raw_Data!H52))="","Not Provided",PROPER(TRIM(CLEAN(Raw_Data!H52))))</f>
        <v>Greater Cairo</v>
      </c>
      <c r="J52" s="8" t="str">
        <f>IF(OR(PROPER(TRIM(CLEAN(Raw_Data!I52)))="Bronze",PROPER(TRIM(CLEAN(Raw_Data!I52)))="Silver",PROPER(TRIM(CLEAN(Raw_Data!I52)))="Gold"),PROPER(TRIM(CLEAN(Raw_Data!I52))),"Unknown")</f>
        <v>Bronze</v>
      </c>
      <c r="K52" s="11">
        <f>IF(ISNUMBER(Raw_Data!J52),Raw_Data!J52,IFERROR(DATEVALUE(Raw_Data!J52),""))</f>
        <v>45263</v>
      </c>
      <c r="L52" s="8" t="str">
        <f t="shared" si="6"/>
        <v>outlook.com</v>
      </c>
      <c r="M52" s="8" t="str">
        <f t="shared" si="7"/>
        <v>CUS</v>
      </c>
      <c r="N52" s="8" t="str">
        <f t="shared" si="8"/>
        <v>02663</v>
      </c>
      <c r="O52" s="8" t="str">
        <f t="shared" si="9"/>
        <v>7799</v>
      </c>
      <c r="P52" s="8" t="str">
        <f t="shared" si="10"/>
        <v>Emad Khalil - Bronze</v>
      </c>
      <c r="Q52" s="12" t="str">
        <f>IF(B52="","Remove - missing ID",IF(OR(E52="",K52=""),"Remove - invalid date",IF(COUNTIF($B$2:B52,B52)&gt;1,"Remove - duplicate ID","Keep")))</f>
        <v>Keep</v>
      </c>
      <c r="R52" s="8" t="str">
        <f t="shared" si="11"/>
        <v>Yes</v>
      </c>
    </row>
    <row r="53" spans="1:18" x14ac:dyDescent="0.25">
      <c r="A53" s="8">
        <f>ROW(Raw_Data!A53)</f>
        <v>53</v>
      </c>
      <c r="B53" s="8" t="str">
        <f>TRIM(CLEAN(Raw_Data!A53))</f>
        <v>CUS02824</v>
      </c>
      <c r="C53" s="8" t="str">
        <f>IF(TRIM(CLEAN(Raw_Data!B53))="","Not Provided",PROPER(TRIM(CLEAN(Raw_Data!B53))))</f>
        <v>Aisha Saad</v>
      </c>
      <c r="D53" s="8" t="str">
        <f>IF(OR(PROPER(TRIM(CLEAN(Raw_Data!C53)))="Male",PROPER(TRIM(CLEAN(Raw_Data!C53)))="Female"),PROPER(TRIM(CLEAN(Raw_Data!C53))),"Unknown")</f>
        <v>Female</v>
      </c>
      <c r="E53" s="11">
        <f>IF(ISNUMBER(Raw_Data!D53),Raw_Data!D53,IFERROR(DATEVALUE(Raw_Data!D53),""))</f>
        <v>36545</v>
      </c>
      <c r="F53" s="8" t="str">
        <f>IF(TRIM(CLEAN(Raw_Data!E53))="","Not Provided",TRIM(CLEAN(Raw_Data!E53)))</f>
        <v>1085204135</v>
      </c>
      <c r="G53" s="8" t="str">
        <f>IF(TRIM(CLEAN(Raw_Data!F53))="","Not Provided",LOWER(TRIM(CLEAN(Raw_Data!F53))))</f>
        <v>Not Provided</v>
      </c>
      <c r="H53" s="8" t="str">
        <f>IF(TRIM(CLEAN(Raw_Data!G53))="","Not Provided",PROPER(TRIM(CLEAN(Raw_Data!G53))))</f>
        <v>Cairo</v>
      </c>
      <c r="I53" s="8" t="str">
        <f>IF(TRIM(CLEAN(Raw_Data!H53))="","Not Provided",PROPER(TRIM(CLEAN(Raw_Data!H53))))</f>
        <v>Greater Cairo</v>
      </c>
      <c r="J53" s="8" t="str">
        <f>IF(OR(PROPER(TRIM(CLEAN(Raw_Data!I53)))="Bronze",PROPER(TRIM(CLEAN(Raw_Data!I53)))="Silver",PROPER(TRIM(CLEAN(Raw_Data!I53)))="Gold"),PROPER(TRIM(CLEAN(Raw_Data!I53))),"Unknown")</f>
        <v>Bronze</v>
      </c>
      <c r="K53" s="11">
        <f>IF(ISNUMBER(Raw_Data!J53),Raw_Data!J53,IFERROR(DATEVALUE(Raw_Data!J53),""))</f>
        <v>44504</v>
      </c>
      <c r="L53" s="8" t="str">
        <f t="shared" si="6"/>
        <v/>
      </c>
      <c r="M53" s="8" t="str">
        <f t="shared" si="7"/>
        <v>CUS</v>
      </c>
      <c r="N53" s="8" t="str">
        <f t="shared" si="8"/>
        <v>02824</v>
      </c>
      <c r="O53" s="8" t="str">
        <f t="shared" si="9"/>
        <v>4135</v>
      </c>
      <c r="P53" s="8" t="str">
        <f t="shared" si="10"/>
        <v>Aisha Saad - Bronze</v>
      </c>
      <c r="Q53" s="12" t="str">
        <f>IF(B53="","Remove - missing ID",IF(OR(E53="",K53=""),"Remove - invalid date",IF(COUNTIF($B$2:B53,B53)&gt;1,"Remove - duplicate ID","Keep")))</f>
        <v>Keep</v>
      </c>
      <c r="R53" s="8" t="str">
        <f t="shared" si="11"/>
        <v>Yes</v>
      </c>
    </row>
    <row r="54" spans="1:18" x14ac:dyDescent="0.25">
      <c r="A54" s="8">
        <f>ROW(Raw_Data!A54)</f>
        <v>54</v>
      </c>
      <c r="B54" s="8" t="str">
        <f>TRIM(CLEAN(Raw_Data!A54))</f>
        <v>CUS01180</v>
      </c>
      <c r="C54" s="8" t="str">
        <f>IF(TRIM(CLEAN(Raw_Data!B54))="","Not Provided",PROPER(TRIM(CLEAN(Raw_Data!B54))))</f>
        <v>Doha Abdallah</v>
      </c>
      <c r="D54" s="8" t="str">
        <f>IF(OR(PROPER(TRIM(CLEAN(Raw_Data!C54)))="Male",PROPER(TRIM(CLEAN(Raw_Data!C54)))="Female"),PROPER(TRIM(CLEAN(Raw_Data!C54))),"Unknown")</f>
        <v>Female</v>
      </c>
      <c r="E54" s="11">
        <f>IF(ISNUMBER(Raw_Data!D54),Raw_Data!D54,IFERROR(DATEVALUE(Raw_Data!D54),""))</f>
        <v>31959</v>
      </c>
      <c r="F54" s="8" t="str">
        <f>IF(TRIM(CLEAN(Raw_Data!E54))="","Not Provided",TRIM(CLEAN(Raw_Data!E54)))</f>
        <v>1024212949</v>
      </c>
      <c r="G54" s="8" t="str">
        <f>IF(TRIM(CLEAN(Raw_Data!F54))="","Not Provided",LOWER(TRIM(CLEAN(Raw_Data!F54))))</f>
        <v>doha.abdallah41@gmail.com</v>
      </c>
      <c r="H54" s="8" t="str">
        <f>IF(TRIM(CLEAN(Raw_Data!G54))="","Not Provided",PROPER(TRIM(CLEAN(Raw_Data!G54))))</f>
        <v>Alexandria</v>
      </c>
      <c r="I54" s="8" t="str">
        <f>IF(TRIM(CLEAN(Raw_Data!H54))="","Not Provided",PROPER(TRIM(CLEAN(Raw_Data!H54))))</f>
        <v>Alexandria</v>
      </c>
      <c r="J54" s="8" t="str">
        <f>IF(OR(PROPER(TRIM(CLEAN(Raw_Data!I54)))="Bronze",PROPER(TRIM(CLEAN(Raw_Data!I54)))="Silver",PROPER(TRIM(CLEAN(Raw_Data!I54)))="Gold"),PROPER(TRIM(CLEAN(Raw_Data!I54))),"Unknown")</f>
        <v>Silver</v>
      </c>
      <c r="K54" s="11">
        <f>IF(ISNUMBER(Raw_Data!J54),Raw_Data!J54,IFERROR(DATEVALUE(Raw_Data!J54),""))</f>
        <v>44675</v>
      </c>
      <c r="L54" s="8" t="str">
        <f t="shared" si="6"/>
        <v>gmail.com</v>
      </c>
      <c r="M54" s="8" t="str">
        <f t="shared" si="7"/>
        <v>CUS</v>
      </c>
      <c r="N54" s="8" t="str">
        <f t="shared" si="8"/>
        <v>01180</v>
      </c>
      <c r="O54" s="8" t="str">
        <f t="shared" si="9"/>
        <v>2949</v>
      </c>
      <c r="P54" s="8" t="str">
        <f t="shared" si="10"/>
        <v>Doha Abdallah - Silver</v>
      </c>
      <c r="Q54" s="12" t="str">
        <f>IF(B54="","Remove - missing ID",IF(OR(E54="",K54=""),"Remove - invalid date",IF(COUNTIF($B$2:B54,B54)&gt;1,"Remove - duplicate ID","Keep")))</f>
        <v>Keep</v>
      </c>
      <c r="R54" s="8" t="str">
        <f t="shared" si="11"/>
        <v>Yes</v>
      </c>
    </row>
    <row r="55" spans="1:18" x14ac:dyDescent="0.25">
      <c r="A55" s="8">
        <f>ROW(Raw_Data!A55)</f>
        <v>55</v>
      </c>
      <c r="B55" s="8" t="str">
        <f>TRIM(CLEAN(Raw_Data!A55))</f>
        <v>CUS00052</v>
      </c>
      <c r="C55" s="8" t="str">
        <f>IF(TRIM(CLEAN(Raw_Data!B55))="","Not Provided",PROPER(TRIM(CLEAN(Raw_Data!B55))))</f>
        <v>Emad Ahmed</v>
      </c>
      <c r="D55" s="8" t="str">
        <f>IF(OR(PROPER(TRIM(CLEAN(Raw_Data!C55)))="Male",PROPER(TRIM(CLEAN(Raw_Data!C55)))="Female"),PROPER(TRIM(CLEAN(Raw_Data!C55))),"Unknown")</f>
        <v>Male</v>
      </c>
      <c r="E55" s="11">
        <f>IF(ISNUMBER(Raw_Data!D55),Raw_Data!D55,IFERROR(DATEVALUE(Raw_Data!D55),""))</f>
        <v>29211</v>
      </c>
      <c r="F55" s="8" t="str">
        <f>IF(TRIM(CLEAN(Raw_Data!E55))="","Not Provided",TRIM(CLEAN(Raw_Data!E55)))</f>
        <v>1021503440</v>
      </c>
      <c r="G55" s="8" t="str">
        <f>IF(TRIM(CLEAN(Raw_Data!F55))="","Not Provided",LOWER(TRIM(CLEAN(Raw_Data!F55))))</f>
        <v>emad.ahmed30@gmail.com</v>
      </c>
      <c r="H55" s="8" t="str">
        <f>IF(TRIM(CLEAN(Raw_Data!G55))="","Not Provided",PROPER(TRIM(CLEAN(Raw_Data!G55))))</f>
        <v>Hurghada</v>
      </c>
      <c r="I55" s="8" t="str">
        <f>IF(TRIM(CLEAN(Raw_Data!H55))="","Not Provided",PROPER(TRIM(CLEAN(Raw_Data!H55))))</f>
        <v>Red Sea</v>
      </c>
      <c r="J55" s="8" t="str">
        <f>IF(OR(PROPER(TRIM(CLEAN(Raw_Data!I55)))="Bronze",PROPER(TRIM(CLEAN(Raw_Data!I55)))="Silver",PROPER(TRIM(CLEAN(Raw_Data!I55)))="Gold"),PROPER(TRIM(CLEAN(Raw_Data!I55))),"Unknown")</f>
        <v>Unknown</v>
      </c>
      <c r="K55" s="11">
        <f>IF(ISNUMBER(Raw_Data!J55),Raw_Data!J55,IFERROR(DATEVALUE(Raw_Data!J55),""))</f>
        <v>45183</v>
      </c>
      <c r="L55" s="8" t="str">
        <f t="shared" si="6"/>
        <v>gmail.com</v>
      </c>
      <c r="M55" s="8" t="str">
        <f t="shared" si="7"/>
        <v>CUS</v>
      </c>
      <c r="N55" s="8" t="str">
        <f t="shared" si="8"/>
        <v>00052</v>
      </c>
      <c r="O55" s="8" t="str">
        <f t="shared" si="9"/>
        <v>3440</v>
      </c>
      <c r="P55" s="8" t="str">
        <f t="shared" si="10"/>
        <v>Emad Ahmed - Unknown</v>
      </c>
      <c r="Q55" s="12" t="str">
        <f>IF(B55="","Remove - missing ID",IF(OR(E55="",K55=""),"Remove - invalid date",IF(COUNTIF($B$2:B55,B55)&gt;1,"Remove - duplicate ID","Keep")))</f>
        <v>Keep</v>
      </c>
      <c r="R55" s="8" t="str">
        <f t="shared" si="11"/>
        <v>Yes</v>
      </c>
    </row>
    <row r="56" spans="1:18" x14ac:dyDescent="0.25">
      <c r="A56" s="8">
        <f>ROW(Raw_Data!A56)</f>
        <v>56</v>
      </c>
      <c r="B56" s="8" t="str">
        <f>TRIM(CLEAN(Raw_Data!A56))</f>
        <v>CUS00508</v>
      </c>
      <c r="C56" s="8" t="str">
        <f>IF(TRIM(CLEAN(Raw_Data!B56))="","Not Provided",PROPER(TRIM(CLEAN(Raw_Data!B56))))</f>
        <v>Mona Gamal</v>
      </c>
      <c r="D56" s="8" t="str">
        <f>IF(OR(PROPER(TRIM(CLEAN(Raw_Data!C56)))="Male",PROPER(TRIM(CLEAN(Raw_Data!C56)))="Female"),PROPER(TRIM(CLEAN(Raw_Data!C56))),"Unknown")</f>
        <v>Female</v>
      </c>
      <c r="E56" s="11">
        <f>IF(ISNUMBER(Raw_Data!D56),Raw_Data!D56,IFERROR(DATEVALUE(Raw_Data!D56),""))</f>
        <v>27230</v>
      </c>
      <c r="F56" s="8" t="str">
        <f>IF(TRIM(CLEAN(Raw_Data!E56))="","Not Provided",TRIM(CLEAN(Raw_Data!E56)))</f>
        <v>1292199318</v>
      </c>
      <c r="G56" s="8" t="str">
        <f>IF(TRIM(CLEAN(Raw_Data!F56))="","Not Provided",LOWER(TRIM(CLEAN(Raw_Data!F56))))</f>
        <v>mona.gamal93@gmail.com</v>
      </c>
      <c r="H56" s="8" t="str">
        <f>IF(TRIM(CLEAN(Raw_Data!G56))="","Not Provided",PROPER(TRIM(CLEAN(Raw_Data!G56))))</f>
        <v>Aswan</v>
      </c>
      <c r="I56" s="8" t="str">
        <f>IF(TRIM(CLEAN(Raw_Data!H56))="","Not Provided",PROPER(TRIM(CLEAN(Raw_Data!H56))))</f>
        <v>Upper Egypt</v>
      </c>
      <c r="J56" s="8" t="str">
        <f>IF(OR(PROPER(TRIM(CLEAN(Raw_Data!I56)))="Bronze",PROPER(TRIM(CLEAN(Raw_Data!I56)))="Silver",PROPER(TRIM(CLEAN(Raw_Data!I56)))="Gold"),PROPER(TRIM(CLEAN(Raw_Data!I56))),"Unknown")</f>
        <v>Silver</v>
      </c>
      <c r="K56" s="11">
        <f>IF(ISNUMBER(Raw_Data!J56),Raw_Data!J56,IFERROR(DATEVALUE(Raw_Data!J56),""))</f>
        <v>43846</v>
      </c>
      <c r="L56" s="8" t="str">
        <f t="shared" si="6"/>
        <v>gmail.com</v>
      </c>
      <c r="M56" s="8" t="str">
        <f t="shared" si="7"/>
        <v>CUS</v>
      </c>
      <c r="N56" s="8" t="str">
        <f t="shared" si="8"/>
        <v>00508</v>
      </c>
      <c r="O56" s="8" t="str">
        <f t="shared" si="9"/>
        <v>9318</v>
      </c>
      <c r="P56" s="8" t="str">
        <f t="shared" si="10"/>
        <v>Mona Gamal - Silver</v>
      </c>
      <c r="Q56" s="12" t="str">
        <f>IF(B56="","Remove - missing ID",IF(OR(E56="",K56=""),"Remove - invalid date",IF(COUNTIF($B$2:B56,B56)&gt;1,"Remove - duplicate ID","Keep")))</f>
        <v>Keep</v>
      </c>
      <c r="R56" s="8" t="str">
        <f t="shared" si="11"/>
        <v>Yes</v>
      </c>
    </row>
    <row r="57" spans="1:18" x14ac:dyDescent="0.25">
      <c r="A57" s="8">
        <f>ROW(Raw_Data!A57)</f>
        <v>57</v>
      </c>
      <c r="B57" s="8" t="str">
        <f>TRIM(CLEAN(Raw_Data!A57))</f>
        <v>CUS01018</v>
      </c>
      <c r="C57" s="8" t="str">
        <f>IF(TRIM(CLEAN(Raw_Data!B57))="","Not Provided",PROPER(TRIM(CLEAN(Raw_Data!B57))))</f>
        <v>Ayman Fathy</v>
      </c>
      <c r="D57" s="8" t="str">
        <f>IF(OR(PROPER(TRIM(CLEAN(Raw_Data!C57)))="Male",PROPER(TRIM(CLEAN(Raw_Data!C57)))="Female"),PROPER(TRIM(CLEAN(Raw_Data!C57))),"Unknown")</f>
        <v>Male</v>
      </c>
      <c r="E57" s="11" t="str">
        <f>IF(ISNUMBER(Raw_Data!D57),Raw_Data!D57,IFERROR(DATEVALUE(Raw_Data!D57),""))</f>
        <v/>
      </c>
      <c r="F57" s="8" t="str">
        <f>IF(TRIM(CLEAN(Raw_Data!E57))="","Not Provided",TRIM(CLEAN(Raw_Data!E57)))</f>
        <v>1189602636</v>
      </c>
      <c r="G57" s="8" t="str">
        <f>IF(TRIM(CLEAN(Raw_Data!F57))="","Not Provided",LOWER(TRIM(CLEAN(Raw_Data!F57))))</f>
        <v>ayman.fathy26@outlook.com</v>
      </c>
      <c r="H57" s="8" t="str">
        <f>IF(TRIM(CLEAN(Raw_Data!G57))="","Not Provided",PROPER(TRIM(CLEAN(Raw_Data!G57))))</f>
        <v>Alexandria</v>
      </c>
      <c r="I57" s="8" t="str">
        <f>IF(TRIM(CLEAN(Raw_Data!H57))="","Not Provided",PROPER(TRIM(CLEAN(Raw_Data!H57))))</f>
        <v>Alexandria</v>
      </c>
      <c r="J57" s="8" t="str">
        <f>IF(OR(PROPER(TRIM(CLEAN(Raw_Data!I57)))="Bronze",PROPER(TRIM(CLEAN(Raw_Data!I57)))="Silver",PROPER(TRIM(CLEAN(Raw_Data!I57)))="Gold"),PROPER(TRIM(CLEAN(Raw_Data!I57))),"Unknown")</f>
        <v>Unknown</v>
      </c>
      <c r="K57" s="11">
        <f>IF(ISNUMBER(Raw_Data!J57),Raw_Data!J57,IFERROR(DATEVALUE(Raw_Data!J57),""))</f>
        <v>44765</v>
      </c>
      <c r="L57" s="8" t="str">
        <f t="shared" si="6"/>
        <v>outlook.com</v>
      </c>
      <c r="M57" s="8" t="str">
        <f t="shared" si="7"/>
        <v>CUS</v>
      </c>
      <c r="N57" s="8" t="str">
        <f t="shared" si="8"/>
        <v>01018</v>
      </c>
      <c r="O57" s="8" t="str">
        <f t="shared" si="9"/>
        <v>2636</v>
      </c>
      <c r="P57" s="8" t="str">
        <f t="shared" si="10"/>
        <v>Ayman Fathy - Unknown</v>
      </c>
      <c r="Q57" s="12" t="str">
        <f>IF(B57="","Remove - missing ID",IF(OR(E57="",K57=""),"Remove - invalid date",IF(COUNTIF($B$2:B57,B57)&gt;1,"Remove - duplicate ID","Keep")))</f>
        <v>Remove - invalid date</v>
      </c>
      <c r="R57" s="8" t="str">
        <f t="shared" si="11"/>
        <v>No</v>
      </c>
    </row>
    <row r="58" spans="1:18" x14ac:dyDescent="0.25">
      <c r="A58" s="8">
        <f>ROW(Raw_Data!A58)</f>
        <v>58</v>
      </c>
      <c r="B58" s="8" t="str">
        <f>TRIM(CLEAN(Raw_Data!A58))</f>
        <v>CUS01092</v>
      </c>
      <c r="C58" s="8" t="str">
        <f>IF(TRIM(CLEAN(Raw_Data!B58))="","Not Provided",PROPER(TRIM(CLEAN(Raw_Data!B58))))</f>
        <v>Aisha Mostafa</v>
      </c>
      <c r="D58" s="8" t="str">
        <f>IF(OR(PROPER(TRIM(CLEAN(Raw_Data!C58)))="Male",PROPER(TRIM(CLEAN(Raw_Data!C58)))="Female"),PROPER(TRIM(CLEAN(Raw_Data!C58))),"Unknown")</f>
        <v>Female</v>
      </c>
      <c r="E58" s="11">
        <f>IF(ISNUMBER(Raw_Data!D58),Raw_Data!D58,IFERROR(DATEVALUE(Raw_Data!D58),""))</f>
        <v>28406</v>
      </c>
      <c r="F58" s="8" t="str">
        <f>IF(TRIM(CLEAN(Raw_Data!E58))="","Not Provided",TRIM(CLEAN(Raw_Data!E58)))</f>
        <v>1220713289</v>
      </c>
      <c r="G58" s="8" t="str">
        <f>IF(TRIM(CLEAN(Raw_Data!F58))="","Not Provided",LOWER(TRIM(CLEAN(Raw_Data!F58))))</f>
        <v>aisha.mostafa61@hotmail.com</v>
      </c>
      <c r="H58" s="8" t="str">
        <f>IF(TRIM(CLEAN(Raw_Data!G58))="","Not Provided",PROPER(TRIM(CLEAN(Raw_Data!G58))))</f>
        <v>Mansoura</v>
      </c>
      <c r="I58" s="8" t="str">
        <f>IF(TRIM(CLEAN(Raw_Data!H58))="","Not Provided",PROPER(TRIM(CLEAN(Raw_Data!H58))))</f>
        <v>Nile Delta</v>
      </c>
      <c r="J58" s="8" t="str">
        <f>IF(OR(PROPER(TRIM(CLEAN(Raw_Data!I58)))="Bronze",PROPER(TRIM(CLEAN(Raw_Data!I58)))="Silver",PROPER(TRIM(CLEAN(Raw_Data!I58)))="Gold"),PROPER(TRIM(CLEAN(Raw_Data!I58))),"Unknown")</f>
        <v>Bronze</v>
      </c>
      <c r="K58" s="11">
        <f>IF(ISNUMBER(Raw_Data!J58),Raw_Data!J58,IFERROR(DATEVALUE(Raw_Data!J58),""))</f>
        <v>44528</v>
      </c>
      <c r="L58" s="8" t="str">
        <f t="shared" si="6"/>
        <v>hotmail.com</v>
      </c>
      <c r="M58" s="8" t="str">
        <f t="shared" si="7"/>
        <v>CUS</v>
      </c>
      <c r="N58" s="8" t="str">
        <f t="shared" si="8"/>
        <v>01092</v>
      </c>
      <c r="O58" s="8" t="str">
        <f t="shared" si="9"/>
        <v>3289</v>
      </c>
      <c r="P58" s="8" t="str">
        <f t="shared" si="10"/>
        <v>Aisha Mostafa - Bronze</v>
      </c>
      <c r="Q58" s="12" t="str">
        <f>IF(B58="","Remove - missing ID",IF(OR(E58="",K58=""),"Remove - invalid date",IF(COUNTIF($B$2:B58,B58)&gt;1,"Remove - duplicate ID","Keep")))</f>
        <v>Keep</v>
      </c>
      <c r="R58" s="8" t="str">
        <f t="shared" si="11"/>
        <v>Yes</v>
      </c>
    </row>
    <row r="59" spans="1:18" x14ac:dyDescent="0.25">
      <c r="A59" s="8">
        <f>ROW(Raw_Data!A59)</f>
        <v>59</v>
      </c>
      <c r="B59" s="8" t="str">
        <f>TRIM(CLEAN(Raw_Data!A59))</f>
        <v>CUS00064</v>
      </c>
      <c r="C59" s="8" t="str">
        <f>IF(TRIM(CLEAN(Raw_Data!B59))="","Not Provided",PROPER(TRIM(CLEAN(Raw_Data!B59))))</f>
        <v>Emad Bakr</v>
      </c>
      <c r="D59" s="8" t="str">
        <f>IF(OR(PROPER(TRIM(CLEAN(Raw_Data!C59)))="Male",PROPER(TRIM(CLEAN(Raw_Data!C59)))="Female"),PROPER(TRIM(CLEAN(Raw_Data!C59))),"Unknown")</f>
        <v>Male</v>
      </c>
      <c r="E59" s="11">
        <f>IF(ISNUMBER(Raw_Data!D59),Raw_Data!D59,IFERROR(DATEVALUE(Raw_Data!D59),""))</f>
        <v>31918</v>
      </c>
      <c r="F59" s="8" t="str">
        <f>IF(TRIM(CLEAN(Raw_Data!E59))="","Not Provided",TRIM(CLEAN(Raw_Data!E59)))</f>
        <v>1297438349</v>
      </c>
      <c r="G59" s="8" t="str">
        <f>IF(TRIM(CLEAN(Raw_Data!F59))="","Not Provided",LOWER(TRIM(CLEAN(Raw_Data!F59))))</f>
        <v>emad.bakr77@outlook.com</v>
      </c>
      <c r="H59" s="8" t="str">
        <f>IF(TRIM(CLEAN(Raw_Data!G59))="","Not Provided",PROPER(TRIM(CLEAN(Raw_Data!G59))))</f>
        <v>Giza</v>
      </c>
      <c r="I59" s="8" t="str">
        <f>IF(TRIM(CLEAN(Raw_Data!H59))="","Not Provided",PROPER(TRIM(CLEAN(Raw_Data!H59))))</f>
        <v>Greater Cairo</v>
      </c>
      <c r="J59" s="8" t="str">
        <f>IF(OR(PROPER(TRIM(CLEAN(Raw_Data!I59)))="Bronze",PROPER(TRIM(CLEAN(Raw_Data!I59)))="Silver",PROPER(TRIM(CLEAN(Raw_Data!I59)))="Gold"),PROPER(TRIM(CLEAN(Raw_Data!I59))),"Unknown")</f>
        <v>Silver</v>
      </c>
      <c r="K59" s="11">
        <f>IF(ISNUMBER(Raw_Data!J59),Raw_Data!J59,IFERROR(DATEVALUE(Raw_Data!J59),""))</f>
        <v>44870</v>
      </c>
      <c r="L59" s="8" t="str">
        <f t="shared" si="6"/>
        <v>outlook.com</v>
      </c>
      <c r="M59" s="8" t="str">
        <f t="shared" si="7"/>
        <v>CUS</v>
      </c>
      <c r="N59" s="8" t="str">
        <f t="shared" si="8"/>
        <v>00064</v>
      </c>
      <c r="O59" s="8" t="str">
        <f t="shared" si="9"/>
        <v>8349</v>
      </c>
      <c r="P59" s="8" t="str">
        <f t="shared" si="10"/>
        <v>Emad Bakr - Silver</v>
      </c>
      <c r="Q59" s="12" t="str">
        <f>IF(B59="","Remove - missing ID",IF(OR(E59="",K59=""),"Remove - invalid date",IF(COUNTIF($B$2:B59,B59)&gt;1,"Remove - duplicate ID","Keep")))</f>
        <v>Keep</v>
      </c>
      <c r="R59" s="8" t="str">
        <f t="shared" si="11"/>
        <v>Yes</v>
      </c>
    </row>
    <row r="60" spans="1:18" x14ac:dyDescent="0.25">
      <c r="A60" s="8">
        <f>ROW(Raw_Data!A60)</f>
        <v>60</v>
      </c>
      <c r="B60" s="8" t="str">
        <f>TRIM(CLEAN(Raw_Data!A60))</f>
        <v>CUS00945</v>
      </c>
      <c r="C60" s="8" t="str">
        <f>IF(TRIM(CLEAN(Raw_Data!B60))="","Not Provided",PROPER(TRIM(CLEAN(Raw_Data!B60))))</f>
        <v>Karim Ramadan</v>
      </c>
      <c r="D60" s="8" t="str">
        <f>IF(OR(PROPER(TRIM(CLEAN(Raw_Data!C60)))="Male",PROPER(TRIM(CLEAN(Raw_Data!C60)))="Female"),PROPER(TRIM(CLEAN(Raw_Data!C60))),"Unknown")</f>
        <v>Male</v>
      </c>
      <c r="E60" s="11">
        <f>IF(ISNUMBER(Raw_Data!D60),Raw_Data!D60,IFERROR(DATEVALUE(Raw_Data!D60),""))</f>
        <v>35315</v>
      </c>
      <c r="F60" s="8" t="str">
        <f>IF(TRIM(CLEAN(Raw_Data!E60))="","Not Provided",TRIM(CLEAN(Raw_Data!E60)))</f>
        <v>1184351399</v>
      </c>
      <c r="G60" s="8" t="str">
        <f>IF(TRIM(CLEAN(Raw_Data!F60))="","Not Provided",LOWER(TRIM(CLEAN(Raw_Data!F60))))</f>
        <v>karim.ramadan21@outlook.com</v>
      </c>
      <c r="H60" s="8" t="str">
        <f>IF(TRIM(CLEAN(Raw_Data!G60))="","Not Provided",PROPER(TRIM(CLEAN(Raw_Data!G60))))</f>
        <v>Cairo</v>
      </c>
      <c r="I60" s="8" t="str">
        <f>IF(TRIM(CLEAN(Raw_Data!H60))="","Not Provided",PROPER(TRIM(CLEAN(Raw_Data!H60))))</f>
        <v>Greater Cairo</v>
      </c>
      <c r="J60" s="8" t="str">
        <f>IF(OR(PROPER(TRIM(CLEAN(Raw_Data!I60)))="Bronze",PROPER(TRIM(CLEAN(Raw_Data!I60)))="Silver",PROPER(TRIM(CLEAN(Raw_Data!I60)))="Gold"),PROPER(TRIM(CLEAN(Raw_Data!I60))),"Unknown")</f>
        <v>Bronze</v>
      </c>
      <c r="K60" s="11">
        <f>IF(ISNUMBER(Raw_Data!J60),Raw_Data!J60,IFERROR(DATEVALUE(Raw_Data!J60),""))</f>
        <v>44943</v>
      </c>
      <c r="L60" s="8" t="str">
        <f t="shared" si="6"/>
        <v>outlook.com</v>
      </c>
      <c r="M60" s="8" t="str">
        <f t="shared" si="7"/>
        <v>CUS</v>
      </c>
      <c r="N60" s="8" t="str">
        <f t="shared" si="8"/>
        <v>00945</v>
      </c>
      <c r="O60" s="8" t="str">
        <f t="shared" si="9"/>
        <v>1399</v>
      </c>
      <c r="P60" s="8" t="str">
        <f t="shared" si="10"/>
        <v>Karim Ramadan - Bronze</v>
      </c>
      <c r="Q60" s="12" t="str">
        <f>IF(B60="","Remove - missing ID",IF(OR(E60="",K60=""),"Remove - invalid date",IF(COUNTIF($B$2:B60,B60)&gt;1,"Remove - duplicate ID","Keep")))</f>
        <v>Keep</v>
      </c>
      <c r="R60" s="8" t="str">
        <f t="shared" si="11"/>
        <v>Yes</v>
      </c>
    </row>
    <row r="61" spans="1:18" x14ac:dyDescent="0.25">
      <c r="A61" s="8">
        <f>ROW(Raw_Data!A61)</f>
        <v>61</v>
      </c>
      <c r="B61" s="8" t="str">
        <f>TRIM(CLEAN(Raw_Data!A61))</f>
        <v>CUS02376</v>
      </c>
      <c r="C61" s="8" t="str">
        <f>IF(TRIM(CLEAN(Raw_Data!B61))="","Not Provided",PROPER(TRIM(CLEAN(Raw_Data!B61))))</f>
        <v>Maged Bakr</v>
      </c>
      <c r="D61" s="8" t="str">
        <f>IF(OR(PROPER(TRIM(CLEAN(Raw_Data!C61)))="Male",PROPER(TRIM(CLEAN(Raw_Data!C61)))="Female"),PROPER(TRIM(CLEAN(Raw_Data!C61))),"Unknown")</f>
        <v>Male</v>
      </c>
      <c r="E61" s="11">
        <f>IF(ISNUMBER(Raw_Data!D61),Raw_Data!D61,IFERROR(DATEVALUE(Raw_Data!D61),""))</f>
        <v>27756</v>
      </c>
      <c r="F61" s="8" t="str">
        <f>IF(TRIM(CLEAN(Raw_Data!E61))="","Not Provided",TRIM(CLEAN(Raw_Data!E61)))</f>
        <v>1150176369</v>
      </c>
      <c r="G61" s="8" t="str">
        <f>IF(TRIM(CLEAN(Raw_Data!F61))="","Not Provided",LOWER(TRIM(CLEAN(Raw_Data!F61))))</f>
        <v>maged.bakr1@hotmail.com</v>
      </c>
      <c r="H61" s="8" t="str">
        <f>IF(TRIM(CLEAN(Raw_Data!G61))="","Not Provided",PROPER(TRIM(CLEAN(Raw_Data!G61))))</f>
        <v>Cairo</v>
      </c>
      <c r="I61" s="8" t="str">
        <f>IF(TRIM(CLEAN(Raw_Data!H61))="","Not Provided",PROPER(TRIM(CLEAN(Raw_Data!H61))))</f>
        <v>Greater Cairo</v>
      </c>
      <c r="J61" s="8" t="str">
        <f>IF(OR(PROPER(TRIM(CLEAN(Raw_Data!I61)))="Bronze",PROPER(TRIM(CLEAN(Raw_Data!I61)))="Silver",PROPER(TRIM(CLEAN(Raw_Data!I61)))="Gold"),PROPER(TRIM(CLEAN(Raw_Data!I61))),"Unknown")</f>
        <v>Silver</v>
      </c>
      <c r="K61" s="11">
        <f>IF(ISNUMBER(Raw_Data!J61),Raw_Data!J61,IFERROR(DATEVALUE(Raw_Data!J61),""))</f>
        <v>45105</v>
      </c>
      <c r="L61" s="8" t="str">
        <f t="shared" si="6"/>
        <v>hotmail.com</v>
      </c>
      <c r="M61" s="8" t="str">
        <f t="shared" si="7"/>
        <v>CUS</v>
      </c>
      <c r="N61" s="8" t="str">
        <f t="shared" si="8"/>
        <v>02376</v>
      </c>
      <c r="O61" s="8" t="str">
        <f t="shared" si="9"/>
        <v>6369</v>
      </c>
      <c r="P61" s="8" t="str">
        <f t="shared" si="10"/>
        <v>Maged Bakr - Silver</v>
      </c>
      <c r="Q61" s="12" t="str">
        <f>IF(B61="","Remove - missing ID",IF(OR(E61="",K61=""),"Remove - invalid date",IF(COUNTIF($B$2:B61,B61)&gt;1,"Remove - duplicate ID","Keep")))</f>
        <v>Keep</v>
      </c>
      <c r="R61" s="8" t="str">
        <f t="shared" si="11"/>
        <v>Yes</v>
      </c>
    </row>
    <row r="62" spans="1:18" x14ac:dyDescent="0.25">
      <c r="A62" s="8">
        <f>ROW(Raw_Data!A62)</f>
        <v>62</v>
      </c>
      <c r="B62" s="8" t="str">
        <f>TRIM(CLEAN(Raw_Data!A62))</f>
        <v>CUS00045</v>
      </c>
      <c r="C62" s="8" t="str">
        <f>IF(TRIM(CLEAN(Raw_Data!B62))="","Not Provided",PROPER(TRIM(CLEAN(Raw_Data!B62))))</f>
        <v>Samir Abdallah</v>
      </c>
      <c r="D62" s="8" t="str">
        <f>IF(OR(PROPER(TRIM(CLEAN(Raw_Data!C62)))="Male",PROPER(TRIM(CLEAN(Raw_Data!C62)))="Female"),PROPER(TRIM(CLEAN(Raw_Data!C62))),"Unknown")</f>
        <v>Male</v>
      </c>
      <c r="E62" s="11">
        <f>IF(ISNUMBER(Raw_Data!D62),Raw_Data!D62,IFERROR(DATEVALUE(Raw_Data!D62),""))</f>
        <v>29598</v>
      </c>
      <c r="F62" s="8" t="str">
        <f>IF(TRIM(CLEAN(Raw_Data!E62))="","Not Provided",TRIM(CLEAN(Raw_Data!E62)))</f>
        <v>1286884584</v>
      </c>
      <c r="G62" s="8" t="str">
        <f>IF(TRIM(CLEAN(Raw_Data!F62))="","Not Provided",LOWER(TRIM(CLEAN(Raw_Data!F62))))</f>
        <v>Not Provided</v>
      </c>
      <c r="H62" s="8" t="str">
        <f>IF(TRIM(CLEAN(Raw_Data!G62))="","Not Provided",PROPER(TRIM(CLEAN(Raw_Data!G62))))</f>
        <v>Cairo</v>
      </c>
      <c r="I62" s="8" t="str">
        <f>IF(TRIM(CLEAN(Raw_Data!H62))="","Not Provided",PROPER(TRIM(CLEAN(Raw_Data!H62))))</f>
        <v>Greater Cairo</v>
      </c>
      <c r="J62" s="8" t="str">
        <f>IF(OR(PROPER(TRIM(CLEAN(Raw_Data!I62)))="Bronze",PROPER(TRIM(CLEAN(Raw_Data!I62)))="Silver",PROPER(TRIM(CLEAN(Raw_Data!I62)))="Gold"),PROPER(TRIM(CLEAN(Raw_Data!I62))),"Unknown")</f>
        <v>Silver</v>
      </c>
      <c r="K62" s="11">
        <f>IF(ISNUMBER(Raw_Data!J62),Raw_Data!J62,IFERROR(DATEVALUE(Raw_Data!J62),""))</f>
        <v>44842</v>
      </c>
      <c r="L62" s="8" t="str">
        <f t="shared" si="6"/>
        <v/>
      </c>
      <c r="M62" s="8" t="str">
        <f t="shared" si="7"/>
        <v>CUS</v>
      </c>
      <c r="N62" s="8" t="str">
        <f t="shared" si="8"/>
        <v>00045</v>
      </c>
      <c r="O62" s="8" t="str">
        <f t="shared" si="9"/>
        <v>4584</v>
      </c>
      <c r="P62" s="8" t="str">
        <f t="shared" si="10"/>
        <v>Samir Abdallah - Silver</v>
      </c>
      <c r="Q62" s="12" t="str">
        <f>IF(B62="","Remove - missing ID",IF(OR(E62="",K62=""),"Remove - invalid date",IF(COUNTIF($B$2:B62,B62)&gt;1,"Remove - duplicate ID","Keep")))</f>
        <v>Keep</v>
      </c>
      <c r="R62" s="8" t="str">
        <f t="shared" si="11"/>
        <v>Yes</v>
      </c>
    </row>
    <row r="63" spans="1:18" x14ac:dyDescent="0.25">
      <c r="A63" s="8">
        <f>ROW(Raw_Data!A63)</f>
        <v>63</v>
      </c>
      <c r="B63" s="8" t="str">
        <f>TRIM(CLEAN(Raw_Data!A63))</f>
        <v>CUS02708</v>
      </c>
      <c r="C63" s="8" t="str">
        <f>IF(TRIM(CLEAN(Raw_Data!B63))="","Not Provided",PROPER(TRIM(CLEAN(Raw_Data!B63))))</f>
        <v>Hossam Ibrahim</v>
      </c>
      <c r="D63" s="8" t="str">
        <f>IF(OR(PROPER(TRIM(CLEAN(Raw_Data!C63)))="Male",PROPER(TRIM(CLEAN(Raw_Data!C63)))="Female"),PROPER(TRIM(CLEAN(Raw_Data!C63))),"Unknown")</f>
        <v>Male</v>
      </c>
      <c r="E63" s="11">
        <f>IF(ISNUMBER(Raw_Data!D63),Raw_Data!D63,IFERROR(DATEVALUE(Raw_Data!D63),""))</f>
        <v>29646</v>
      </c>
      <c r="F63" s="8" t="str">
        <f>IF(TRIM(CLEAN(Raw_Data!E63))="","Not Provided",TRIM(CLEAN(Raw_Data!E63)))</f>
        <v>1129465805</v>
      </c>
      <c r="G63" s="8" t="str">
        <f>IF(TRIM(CLEAN(Raw_Data!F63))="","Not Provided",LOWER(TRIM(CLEAN(Raw_Data!F63))))</f>
        <v>hossam.ibrahim93@yahoo.com</v>
      </c>
      <c r="H63" s="8" t="str">
        <f>IF(TRIM(CLEAN(Raw_Data!G63))="","Not Provided",PROPER(TRIM(CLEAN(Raw_Data!G63))))</f>
        <v>Cairo</v>
      </c>
      <c r="I63" s="8" t="str">
        <f>IF(TRIM(CLEAN(Raw_Data!H63))="","Not Provided",PROPER(TRIM(CLEAN(Raw_Data!H63))))</f>
        <v>Greater Cairo</v>
      </c>
      <c r="J63" s="8" t="str">
        <f>IF(OR(PROPER(TRIM(CLEAN(Raw_Data!I63)))="Bronze",PROPER(TRIM(CLEAN(Raw_Data!I63)))="Silver",PROPER(TRIM(CLEAN(Raw_Data!I63)))="Gold"),PROPER(TRIM(CLEAN(Raw_Data!I63))),"Unknown")</f>
        <v>Silver</v>
      </c>
      <c r="K63" s="11">
        <f>IF(ISNUMBER(Raw_Data!J63),Raw_Data!J63,IFERROR(DATEVALUE(Raw_Data!J63),""))</f>
        <v>44579</v>
      </c>
      <c r="L63" s="8" t="str">
        <f t="shared" si="6"/>
        <v>yahoo.com</v>
      </c>
      <c r="M63" s="8" t="str">
        <f t="shared" si="7"/>
        <v>CUS</v>
      </c>
      <c r="N63" s="8" t="str">
        <f t="shared" si="8"/>
        <v>02708</v>
      </c>
      <c r="O63" s="8" t="str">
        <f t="shared" si="9"/>
        <v>5805</v>
      </c>
      <c r="P63" s="8" t="str">
        <f t="shared" si="10"/>
        <v>Hossam Ibrahim - Silver</v>
      </c>
      <c r="Q63" s="12" t="str">
        <f>IF(B63="","Remove - missing ID",IF(OR(E63="",K63=""),"Remove - invalid date",IF(COUNTIF($B$2:B63,B63)&gt;1,"Remove - duplicate ID","Keep")))</f>
        <v>Keep</v>
      </c>
      <c r="R63" s="8" t="str">
        <f t="shared" si="11"/>
        <v>Yes</v>
      </c>
    </row>
    <row r="64" spans="1:18" x14ac:dyDescent="0.25">
      <c r="A64" s="8">
        <f>ROW(Raw_Data!A64)</f>
        <v>64</v>
      </c>
      <c r="B64" s="8" t="str">
        <f>TRIM(CLEAN(Raw_Data!A64))</f>
        <v>CUS01511</v>
      </c>
      <c r="C64" s="8" t="str">
        <f>IF(TRIM(CLEAN(Raw_Data!B64))="","Not Provided",PROPER(TRIM(CLEAN(Raw_Data!B64))))</f>
        <v>Ali Ragab</v>
      </c>
      <c r="D64" s="8" t="str">
        <f>IF(OR(PROPER(TRIM(CLEAN(Raw_Data!C64)))="Male",PROPER(TRIM(CLEAN(Raw_Data!C64)))="Female"),PROPER(TRIM(CLEAN(Raw_Data!C64))),"Unknown")</f>
        <v>Male</v>
      </c>
      <c r="E64" s="11">
        <f>IF(ISNUMBER(Raw_Data!D64),Raw_Data!D64,IFERROR(DATEVALUE(Raw_Data!D64),""))</f>
        <v>34260</v>
      </c>
      <c r="F64" s="8" t="str">
        <f>IF(TRIM(CLEAN(Raw_Data!E64))="","Not Provided",TRIM(CLEAN(Raw_Data!E64)))</f>
        <v>1199072761</v>
      </c>
      <c r="G64" s="8" t="str">
        <f>IF(TRIM(CLEAN(Raw_Data!F64))="","Not Provided",LOWER(TRIM(CLEAN(Raw_Data!F64))))</f>
        <v>ali.ragab56@yahoo.com</v>
      </c>
      <c r="H64" s="8" t="str">
        <f>IF(TRIM(CLEAN(Raw_Data!G64))="","Not Provided",PROPER(TRIM(CLEAN(Raw_Data!G64))))</f>
        <v>Aswan</v>
      </c>
      <c r="I64" s="8" t="str">
        <f>IF(TRIM(CLEAN(Raw_Data!H64))="","Not Provided",PROPER(TRIM(CLEAN(Raw_Data!H64))))</f>
        <v>Upper Egypt</v>
      </c>
      <c r="J64" s="8" t="str">
        <f>IF(OR(PROPER(TRIM(CLEAN(Raw_Data!I64)))="Bronze",PROPER(TRIM(CLEAN(Raw_Data!I64)))="Silver",PROPER(TRIM(CLEAN(Raw_Data!I64)))="Gold"),PROPER(TRIM(CLEAN(Raw_Data!I64))),"Unknown")</f>
        <v>Bronze</v>
      </c>
      <c r="K64" s="11">
        <f>IF(ISNUMBER(Raw_Data!J64),Raw_Data!J64,IFERROR(DATEVALUE(Raw_Data!J64),""))</f>
        <v>44722</v>
      </c>
      <c r="L64" s="8" t="str">
        <f t="shared" si="6"/>
        <v>yahoo.com</v>
      </c>
      <c r="M64" s="8" t="str">
        <f t="shared" si="7"/>
        <v>CUS</v>
      </c>
      <c r="N64" s="8" t="str">
        <f t="shared" si="8"/>
        <v>01511</v>
      </c>
      <c r="O64" s="8" t="str">
        <f t="shared" si="9"/>
        <v>2761</v>
      </c>
      <c r="P64" s="8" t="str">
        <f t="shared" si="10"/>
        <v>Ali Ragab - Bronze</v>
      </c>
      <c r="Q64" s="12" t="str">
        <f>IF(B64="","Remove - missing ID",IF(OR(E64="",K64=""),"Remove - invalid date",IF(COUNTIF($B$2:B64,B64)&gt;1,"Remove - duplicate ID","Keep")))</f>
        <v>Keep</v>
      </c>
      <c r="R64" s="8" t="str">
        <f t="shared" si="11"/>
        <v>Yes</v>
      </c>
    </row>
    <row r="65" spans="1:18" x14ac:dyDescent="0.25">
      <c r="A65" s="8">
        <f>ROW(Raw_Data!A65)</f>
        <v>65</v>
      </c>
      <c r="B65" s="8" t="str">
        <f>TRIM(CLEAN(Raw_Data!A65))</f>
        <v>CUS00255</v>
      </c>
      <c r="C65" s="8" t="str">
        <f>IF(TRIM(CLEAN(Raw_Data!B65))="","Not Provided",PROPER(TRIM(CLEAN(Raw_Data!B65))))</f>
        <v>Magdy Barakat</v>
      </c>
      <c r="D65" s="8" t="str">
        <f>IF(OR(PROPER(TRIM(CLEAN(Raw_Data!C65)))="Male",PROPER(TRIM(CLEAN(Raw_Data!C65)))="Female"),PROPER(TRIM(CLEAN(Raw_Data!C65))),"Unknown")</f>
        <v>Male</v>
      </c>
      <c r="E65" s="11">
        <f>IF(ISNUMBER(Raw_Data!D65),Raw_Data!D65,IFERROR(DATEVALUE(Raw_Data!D65),""))</f>
        <v>27430</v>
      </c>
      <c r="F65" s="8" t="str">
        <f>IF(TRIM(CLEAN(Raw_Data!E65))="","Not Provided",TRIM(CLEAN(Raw_Data!E65)))</f>
        <v>1163770881</v>
      </c>
      <c r="G65" s="8" t="str">
        <f>IF(TRIM(CLEAN(Raw_Data!F65))="","Not Provided",LOWER(TRIM(CLEAN(Raw_Data!F65))))</f>
        <v>magdy.barakat22@gmail.com</v>
      </c>
      <c r="H65" s="8" t="str">
        <f>IF(TRIM(CLEAN(Raw_Data!G65))="","Not Provided",PROPER(TRIM(CLEAN(Raw_Data!G65))))</f>
        <v>Cairo</v>
      </c>
      <c r="I65" s="8" t="str">
        <f>IF(TRIM(CLEAN(Raw_Data!H65))="","Not Provided",PROPER(TRIM(CLEAN(Raw_Data!H65))))</f>
        <v>Greater Cairo</v>
      </c>
      <c r="J65" s="8" t="str">
        <f>IF(OR(PROPER(TRIM(CLEAN(Raw_Data!I65)))="Bronze",PROPER(TRIM(CLEAN(Raw_Data!I65)))="Silver",PROPER(TRIM(CLEAN(Raw_Data!I65)))="Gold"),PROPER(TRIM(CLEAN(Raw_Data!I65))),"Unknown")</f>
        <v>Bronze</v>
      </c>
      <c r="K65" s="11">
        <f>IF(ISNUMBER(Raw_Data!J65),Raw_Data!J65,IFERROR(DATEVALUE(Raw_Data!J65),""))</f>
        <v>44662</v>
      </c>
      <c r="L65" s="8" t="str">
        <f t="shared" si="6"/>
        <v>gmail.com</v>
      </c>
      <c r="M65" s="8" t="str">
        <f t="shared" si="7"/>
        <v>CUS</v>
      </c>
      <c r="N65" s="8" t="str">
        <f t="shared" si="8"/>
        <v>00255</v>
      </c>
      <c r="O65" s="8" t="str">
        <f t="shared" si="9"/>
        <v>0881</v>
      </c>
      <c r="P65" s="8" t="str">
        <f t="shared" si="10"/>
        <v>Magdy Barakat - Bronze</v>
      </c>
      <c r="Q65" s="12" t="str">
        <f>IF(B65="","Remove - missing ID",IF(OR(E65="",K65=""),"Remove - invalid date",IF(COUNTIF($B$2:B65,B65)&gt;1,"Remove - duplicate ID","Keep")))</f>
        <v>Keep</v>
      </c>
      <c r="R65" s="8" t="str">
        <f t="shared" si="11"/>
        <v>Yes</v>
      </c>
    </row>
    <row r="66" spans="1:18" x14ac:dyDescent="0.25">
      <c r="A66" s="8">
        <f>ROW(Raw_Data!A66)</f>
        <v>66</v>
      </c>
      <c r="B66" s="8" t="str">
        <f>TRIM(CLEAN(Raw_Data!A66))</f>
        <v>CUS00322</v>
      </c>
      <c r="C66" s="8" t="str">
        <f>IF(TRIM(CLEAN(Raw_Data!B66))="","Not Provided",PROPER(TRIM(CLEAN(Raw_Data!B66))))</f>
        <v>Shaimaa Ragab</v>
      </c>
      <c r="D66" s="8" t="str">
        <f>IF(OR(PROPER(TRIM(CLEAN(Raw_Data!C66)))="Male",PROPER(TRIM(CLEAN(Raw_Data!C66)))="Female"),PROPER(TRIM(CLEAN(Raw_Data!C66))),"Unknown")</f>
        <v>Female</v>
      </c>
      <c r="E66" s="11">
        <f>IF(ISNUMBER(Raw_Data!D66),Raw_Data!D66,IFERROR(DATEVALUE(Raw_Data!D66),""))</f>
        <v>35854</v>
      </c>
      <c r="F66" s="8" t="str">
        <f>IF(TRIM(CLEAN(Raw_Data!E66))="","Not Provided",TRIM(CLEAN(Raw_Data!E66)))</f>
        <v>1277166896</v>
      </c>
      <c r="G66" s="8" t="str">
        <f>IF(TRIM(CLEAN(Raw_Data!F66))="","Not Provided",LOWER(TRIM(CLEAN(Raw_Data!F66))))</f>
        <v>shaimaa.ragab32@outlook.com</v>
      </c>
      <c r="H66" s="8" t="str">
        <f>IF(TRIM(CLEAN(Raw_Data!G66))="","Not Provided",PROPER(TRIM(CLEAN(Raw_Data!G66))))</f>
        <v>Tanta</v>
      </c>
      <c r="I66" s="8" t="str">
        <f>IF(TRIM(CLEAN(Raw_Data!H66))="","Not Provided",PROPER(TRIM(CLEAN(Raw_Data!H66))))</f>
        <v>Nile Delta</v>
      </c>
      <c r="J66" s="8" t="str">
        <f>IF(OR(PROPER(TRIM(CLEAN(Raw_Data!I66)))="Bronze",PROPER(TRIM(CLEAN(Raw_Data!I66)))="Silver",PROPER(TRIM(CLEAN(Raw_Data!I66)))="Gold"),PROPER(TRIM(CLEAN(Raw_Data!I66))),"Unknown")</f>
        <v>Gold</v>
      </c>
      <c r="K66" s="11">
        <f>IF(ISNUMBER(Raw_Data!J66),Raw_Data!J66,IFERROR(DATEVALUE(Raw_Data!J66),""))</f>
        <v>44927</v>
      </c>
      <c r="L66" s="8" t="str">
        <f t="shared" ref="L66:L97" si="12">IFERROR(MID(G66,FIND("@",G66)+1,99),"")</f>
        <v>outlook.com</v>
      </c>
      <c r="M66" s="8" t="str">
        <f t="shared" ref="M66:M97" si="13">LEFT(B66,3)</f>
        <v>CUS</v>
      </c>
      <c r="N66" s="8" t="str">
        <f t="shared" ref="N66:N97" si="14">IFERROR(MID(B66,4,10),"")</f>
        <v>00322</v>
      </c>
      <c r="O66" s="8" t="str">
        <f t="shared" ref="O66:O97" si="15">RIGHT(F66,4)</f>
        <v>6896</v>
      </c>
      <c r="P66" s="8" t="str">
        <f t="shared" ref="P66:P97" si="16">CONCATENATE(C66," - ",J66)</f>
        <v>Shaimaa Ragab - Gold</v>
      </c>
      <c r="Q66" s="12" t="str">
        <f>IF(B66="","Remove - missing ID",IF(OR(E66="",K66=""),"Remove - invalid date",IF(COUNTIF($B$2:B66,B66)&gt;1,"Remove - duplicate ID","Keep")))</f>
        <v>Keep</v>
      </c>
      <c r="R66" s="8" t="str">
        <f t="shared" ref="R66:R97" si="17">IF(Q66="Keep","Yes","No")</f>
        <v>Yes</v>
      </c>
    </row>
    <row r="67" spans="1:18" x14ac:dyDescent="0.25">
      <c r="A67" s="8">
        <f>ROW(Raw_Data!A67)</f>
        <v>67</v>
      </c>
      <c r="B67" s="8" t="str">
        <f>TRIM(CLEAN(Raw_Data!A67))</f>
        <v>CUS02805</v>
      </c>
      <c r="C67" s="8" t="str">
        <f>IF(TRIM(CLEAN(Raw_Data!B67))="","Not Provided",PROPER(TRIM(CLEAN(Raw_Data!B67))))</f>
        <v>Fady Salem</v>
      </c>
      <c r="D67" s="8" t="str">
        <f>IF(OR(PROPER(TRIM(CLEAN(Raw_Data!C67)))="Male",PROPER(TRIM(CLEAN(Raw_Data!C67)))="Female"),PROPER(TRIM(CLEAN(Raw_Data!C67))),"Unknown")</f>
        <v>Male</v>
      </c>
      <c r="E67" s="11">
        <f>IF(ISNUMBER(Raw_Data!D67),Raw_Data!D67,IFERROR(DATEVALUE(Raw_Data!D67),""))</f>
        <v>34824</v>
      </c>
      <c r="F67" s="8" t="str">
        <f>IF(TRIM(CLEAN(Raw_Data!E67))="","Not Provided",TRIM(CLEAN(Raw_Data!E67)))</f>
        <v>1246193334</v>
      </c>
      <c r="G67" s="8" t="str">
        <f>IF(TRIM(CLEAN(Raw_Data!F67))="","Not Provided",LOWER(TRIM(CLEAN(Raw_Data!F67))))</f>
        <v>fady.salem20@gmail.com</v>
      </c>
      <c r="H67" s="8" t="str">
        <f>IF(TRIM(CLEAN(Raw_Data!G67))="","Not Provided",PROPER(TRIM(CLEAN(Raw_Data!G67))))</f>
        <v>Alexandria</v>
      </c>
      <c r="I67" s="8" t="str">
        <f>IF(TRIM(CLEAN(Raw_Data!H67))="","Not Provided",PROPER(TRIM(CLEAN(Raw_Data!H67))))</f>
        <v>Alexandria</v>
      </c>
      <c r="J67" s="8" t="str">
        <f>IF(OR(PROPER(TRIM(CLEAN(Raw_Data!I67)))="Bronze",PROPER(TRIM(CLEAN(Raw_Data!I67)))="Silver",PROPER(TRIM(CLEAN(Raw_Data!I67)))="Gold"),PROPER(TRIM(CLEAN(Raw_Data!I67))),"Unknown")</f>
        <v>Bronze</v>
      </c>
      <c r="K67" s="11">
        <f>IF(ISNUMBER(Raw_Data!J67),Raw_Data!J67,IFERROR(DATEVALUE(Raw_Data!J67),""))</f>
        <v>44257</v>
      </c>
      <c r="L67" s="8" t="str">
        <f t="shared" si="12"/>
        <v>gmail.com</v>
      </c>
      <c r="M67" s="8" t="str">
        <f t="shared" si="13"/>
        <v>CUS</v>
      </c>
      <c r="N67" s="8" t="str">
        <f t="shared" si="14"/>
        <v>02805</v>
      </c>
      <c r="O67" s="8" t="str">
        <f t="shared" si="15"/>
        <v>3334</v>
      </c>
      <c r="P67" s="8" t="str">
        <f t="shared" si="16"/>
        <v>Fady Salem - Bronze</v>
      </c>
      <c r="Q67" s="12" t="str">
        <f>IF(B67="","Remove - missing ID",IF(OR(E67="",K67=""),"Remove - invalid date",IF(COUNTIF($B$2:B67,B67)&gt;1,"Remove - duplicate ID","Keep")))</f>
        <v>Keep</v>
      </c>
      <c r="R67" s="8" t="str">
        <f t="shared" si="17"/>
        <v>Yes</v>
      </c>
    </row>
    <row r="68" spans="1:18" x14ac:dyDescent="0.25">
      <c r="A68" s="8">
        <f>ROW(Raw_Data!A68)</f>
        <v>68</v>
      </c>
      <c r="B68" s="8" t="str">
        <f>TRIM(CLEAN(Raw_Data!A68))</f>
        <v>CUS02938</v>
      </c>
      <c r="C68" s="8" t="str">
        <f>IF(TRIM(CLEAN(Raw_Data!B68))="","Not Provided",PROPER(TRIM(CLEAN(Raw_Data!B68))))</f>
        <v>Suzy Mohamed</v>
      </c>
      <c r="D68" s="8" t="str">
        <f>IF(OR(PROPER(TRIM(CLEAN(Raw_Data!C68)))="Male",PROPER(TRIM(CLEAN(Raw_Data!C68)))="Female"),PROPER(TRIM(CLEAN(Raw_Data!C68))),"Unknown")</f>
        <v>Female</v>
      </c>
      <c r="E68" s="11">
        <f>IF(ISNUMBER(Raw_Data!D68),Raw_Data!D68,IFERROR(DATEVALUE(Raw_Data!D68),""))</f>
        <v>29104</v>
      </c>
      <c r="F68" s="8" t="str">
        <f>IF(TRIM(CLEAN(Raw_Data!E68))="","Not Provided",TRIM(CLEAN(Raw_Data!E68)))</f>
        <v>1189868447</v>
      </c>
      <c r="G68" s="8" t="str">
        <f>IF(TRIM(CLEAN(Raw_Data!F68))="","Not Provided",LOWER(TRIM(CLEAN(Raw_Data!F68))))</f>
        <v>suzy.mohamed95@yahoo.com</v>
      </c>
      <c r="H68" s="8" t="str">
        <f>IF(TRIM(CLEAN(Raw_Data!G68))="","Not Provided",PROPER(TRIM(CLEAN(Raw_Data!G68))))</f>
        <v>Alexandria</v>
      </c>
      <c r="I68" s="8" t="str">
        <f>IF(TRIM(CLEAN(Raw_Data!H68))="","Not Provided",PROPER(TRIM(CLEAN(Raw_Data!H68))))</f>
        <v>Alexandria</v>
      </c>
      <c r="J68" s="8" t="str">
        <f>IF(OR(PROPER(TRIM(CLEAN(Raw_Data!I68)))="Bronze",PROPER(TRIM(CLEAN(Raw_Data!I68)))="Silver",PROPER(TRIM(CLEAN(Raw_Data!I68)))="Gold"),PROPER(TRIM(CLEAN(Raw_Data!I68))),"Unknown")</f>
        <v>Unknown</v>
      </c>
      <c r="K68" s="11">
        <f>IF(ISNUMBER(Raw_Data!J68),Raw_Data!J68,IFERROR(DATEVALUE(Raw_Data!J68),""))</f>
        <v>44096</v>
      </c>
      <c r="L68" s="8" t="str">
        <f t="shared" si="12"/>
        <v>yahoo.com</v>
      </c>
      <c r="M68" s="8" t="str">
        <f t="shared" si="13"/>
        <v>CUS</v>
      </c>
      <c r="N68" s="8" t="str">
        <f t="shared" si="14"/>
        <v>02938</v>
      </c>
      <c r="O68" s="8" t="str">
        <f t="shared" si="15"/>
        <v>8447</v>
      </c>
      <c r="P68" s="8" t="str">
        <f t="shared" si="16"/>
        <v>Suzy Mohamed - Unknown</v>
      </c>
      <c r="Q68" s="12" t="str">
        <f>IF(B68="","Remove - missing ID",IF(OR(E68="",K68=""),"Remove - invalid date",IF(COUNTIF($B$2:B68,B68)&gt;1,"Remove - duplicate ID","Keep")))</f>
        <v>Keep</v>
      </c>
      <c r="R68" s="8" t="str">
        <f t="shared" si="17"/>
        <v>Yes</v>
      </c>
    </row>
    <row r="69" spans="1:18" x14ac:dyDescent="0.25">
      <c r="A69" s="8">
        <f>ROW(Raw_Data!A69)</f>
        <v>69</v>
      </c>
      <c r="B69" s="8" t="str">
        <f>TRIM(CLEAN(Raw_Data!A69))</f>
        <v>CUS00706</v>
      </c>
      <c r="C69" s="8" t="str">
        <f>IF(TRIM(CLEAN(Raw_Data!B69))="","Not Provided",PROPER(TRIM(CLEAN(Raw_Data!B69))))</f>
        <v>Hana Ismail</v>
      </c>
      <c r="D69" s="8" t="str">
        <f>IF(OR(PROPER(TRIM(CLEAN(Raw_Data!C69)))="Male",PROPER(TRIM(CLEAN(Raw_Data!C69)))="Female"),PROPER(TRIM(CLEAN(Raw_Data!C69))),"Unknown")</f>
        <v>Female</v>
      </c>
      <c r="E69" s="11">
        <f>IF(ISNUMBER(Raw_Data!D69),Raw_Data!D69,IFERROR(DATEVALUE(Raw_Data!D69),""))</f>
        <v>32864</v>
      </c>
      <c r="F69" s="8" t="str">
        <f>IF(TRIM(CLEAN(Raw_Data!E69))="","Not Provided",TRIM(CLEAN(Raw_Data!E69)))</f>
        <v>1089625763</v>
      </c>
      <c r="G69" s="8" t="str">
        <f>IF(TRIM(CLEAN(Raw_Data!F69))="","Not Provided",LOWER(TRIM(CLEAN(Raw_Data!F69))))</f>
        <v>hana.ismail73@hotmail.com</v>
      </c>
      <c r="H69" s="8" t="str">
        <f>IF(TRIM(CLEAN(Raw_Data!G69))="","Not Provided",PROPER(TRIM(CLEAN(Raw_Data!G69))))</f>
        <v>Ismailia</v>
      </c>
      <c r="I69" s="8" t="str">
        <f>IF(TRIM(CLEAN(Raw_Data!H69))="","Not Provided",PROPER(TRIM(CLEAN(Raw_Data!H69))))</f>
        <v>Canal Zone</v>
      </c>
      <c r="J69" s="8" t="str">
        <f>IF(OR(PROPER(TRIM(CLEAN(Raw_Data!I69)))="Bronze",PROPER(TRIM(CLEAN(Raw_Data!I69)))="Silver",PROPER(TRIM(CLEAN(Raw_Data!I69)))="Gold"),PROPER(TRIM(CLEAN(Raw_Data!I69))),"Unknown")</f>
        <v>Bronze</v>
      </c>
      <c r="K69" s="11">
        <f>IF(ISNUMBER(Raw_Data!J69),Raw_Data!J69,IFERROR(DATEVALUE(Raw_Data!J69),""))</f>
        <v>44440</v>
      </c>
      <c r="L69" s="8" t="str">
        <f t="shared" si="12"/>
        <v>hotmail.com</v>
      </c>
      <c r="M69" s="8" t="str">
        <f t="shared" si="13"/>
        <v>CUS</v>
      </c>
      <c r="N69" s="8" t="str">
        <f t="shared" si="14"/>
        <v>00706</v>
      </c>
      <c r="O69" s="8" t="str">
        <f t="shared" si="15"/>
        <v>5763</v>
      </c>
      <c r="P69" s="8" t="str">
        <f t="shared" si="16"/>
        <v>Hana Ismail - Bronze</v>
      </c>
      <c r="Q69" s="12" t="str">
        <f>IF(B69="","Remove - missing ID",IF(OR(E69="",K69=""),"Remove - invalid date",IF(COUNTIF($B$2:B69,B69)&gt;1,"Remove - duplicate ID","Keep")))</f>
        <v>Keep</v>
      </c>
      <c r="R69" s="8" t="str">
        <f t="shared" si="17"/>
        <v>Yes</v>
      </c>
    </row>
    <row r="70" spans="1:18" x14ac:dyDescent="0.25">
      <c r="A70" s="8">
        <f>ROW(Raw_Data!A70)</f>
        <v>70</v>
      </c>
      <c r="B70" s="8" t="str">
        <f>TRIM(CLEAN(Raw_Data!A70))</f>
        <v>CUS02271</v>
      </c>
      <c r="C70" s="8" t="str">
        <f>IF(TRIM(CLEAN(Raw_Data!B70))="","Not Provided",PROPER(TRIM(CLEAN(Raw_Data!B70))))</f>
        <v>Nadia Rizk</v>
      </c>
      <c r="D70" s="8" t="str">
        <f>IF(OR(PROPER(TRIM(CLEAN(Raw_Data!C70)))="Male",PROPER(TRIM(CLEAN(Raw_Data!C70)))="Female"),PROPER(TRIM(CLEAN(Raw_Data!C70))),"Unknown")</f>
        <v>Female</v>
      </c>
      <c r="E70" s="11">
        <f>IF(ISNUMBER(Raw_Data!D70),Raw_Data!D70,IFERROR(DATEVALUE(Raw_Data!D70),""))</f>
        <v>31766</v>
      </c>
      <c r="F70" s="8" t="str">
        <f>IF(TRIM(CLEAN(Raw_Data!E70))="","Not Provided",TRIM(CLEAN(Raw_Data!E70)))</f>
        <v>1118659744</v>
      </c>
      <c r="G70" s="8" t="str">
        <f>IF(TRIM(CLEAN(Raw_Data!F70))="","Not Provided",LOWER(TRIM(CLEAN(Raw_Data!F70))))</f>
        <v>nadia.rizk62@hotmail.com</v>
      </c>
      <c r="H70" s="8" t="str">
        <f>IF(TRIM(CLEAN(Raw_Data!G70))="","Not Provided",PROPER(TRIM(CLEAN(Raw_Data!G70))))</f>
        <v>Cairo</v>
      </c>
      <c r="I70" s="8" t="str">
        <f>IF(TRIM(CLEAN(Raw_Data!H70))="","Not Provided",PROPER(TRIM(CLEAN(Raw_Data!H70))))</f>
        <v>Greater Cairo</v>
      </c>
      <c r="J70" s="8" t="str">
        <f>IF(OR(PROPER(TRIM(CLEAN(Raw_Data!I70)))="Bronze",PROPER(TRIM(CLEAN(Raw_Data!I70)))="Silver",PROPER(TRIM(CLEAN(Raw_Data!I70)))="Gold"),PROPER(TRIM(CLEAN(Raw_Data!I70))),"Unknown")</f>
        <v>Bronze</v>
      </c>
      <c r="K70" s="11">
        <f>IF(ISNUMBER(Raw_Data!J70),Raw_Data!J70,IFERROR(DATEVALUE(Raw_Data!J70),""))</f>
        <v>45154</v>
      </c>
      <c r="L70" s="8" t="str">
        <f t="shared" si="12"/>
        <v>hotmail.com</v>
      </c>
      <c r="M70" s="8" t="str">
        <f t="shared" si="13"/>
        <v>CUS</v>
      </c>
      <c r="N70" s="8" t="str">
        <f t="shared" si="14"/>
        <v>02271</v>
      </c>
      <c r="O70" s="8" t="str">
        <f t="shared" si="15"/>
        <v>9744</v>
      </c>
      <c r="P70" s="8" t="str">
        <f t="shared" si="16"/>
        <v>Nadia Rizk - Bronze</v>
      </c>
      <c r="Q70" s="12" t="str">
        <f>IF(B70="","Remove - missing ID",IF(OR(E70="",K70=""),"Remove - invalid date",IF(COUNTIF($B$2:B70,B70)&gt;1,"Remove - duplicate ID","Keep")))</f>
        <v>Keep</v>
      </c>
      <c r="R70" s="8" t="str">
        <f t="shared" si="17"/>
        <v>Yes</v>
      </c>
    </row>
    <row r="71" spans="1:18" x14ac:dyDescent="0.25">
      <c r="A71" s="8">
        <f>ROW(Raw_Data!A71)</f>
        <v>71</v>
      </c>
      <c r="B71" s="8" t="str">
        <f>TRIM(CLEAN(Raw_Data!A71))</f>
        <v>CUS02125</v>
      </c>
      <c r="C71" s="8" t="str">
        <f>IF(TRIM(CLEAN(Raw_Data!B71))="","Not Provided",PROPER(TRIM(CLEAN(Raw_Data!B71))))</f>
        <v>Radwa Ali</v>
      </c>
      <c r="D71" s="8" t="str">
        <f>IF(OR(PROPER(TRIM(CLEAN(Raw_Data!C71)))="Male",PROPER(TRIM(CLEAN(Raw_Data!C71)))="Female"),PROPER(TRIM(CLEAN(Raw_Data!C71))),"Unknown")</f>
        <v>Female</v>
      </c>
      <c r="E71" s="11">
        <f>IF(ISNUMBER(Raw_Data!D71),Raw_Data!D71,IFERROR(DATEVALUE(Raw_Data!D71),""))</f>
        <v>31092</v>
      </c>
      <c r="F71" s="8" t="str">
        <f>IF(TRIM(CLEAN(Raw_Data!E71))="","Not Provided",TRIM(CLEAN(Raw_Data!E71)))</f>
        <v>1039737286</v>
      </c>
      <c r="G71" s="8" t="str">
        <f>IF(TRIM(CLEAN(Raw_Data!F71))="","Not Provided",LOWER(TRIM(CLEAN(Raw_Data!F71))))</f>
        <v>radwa.ali88@gmail.com</v>
      </c>
      <c r="H71" s="8" t="str">
        <f>IF(TRIM(CLEAN(Raw_Data!G71))="","Not Provided",PROPER(TRIM(CLEAN(Raw_Data!G71))))</f>
        <v>Ismailia</v>
      </c>
      <c r="I71" s="8" t="str">
        <f>IF(TRIM(CLEAN(Raw_Data!H71))="","Not Provided",PROPER(TRIM(CLEAN(Raw_Data!H71))))</f>
        <v>Canal Zone</v>
      </c>
      <c r="J71" s="8" t="str">
        <f>IF(OR(PROPER(TRIM(CLEAN(Raw_Data!I71)))="Bronze",PROPER(TRIM(CLEAN(Raw_Data!I71)))="Silver",PROPER(TRIM(CLEAN(Raw_Data!I71)))="Gold"),PROPER(TRIM(CLEAN(Raw_Data!I71))),"Unknown")</f>
        <v>Bronze</v>
      </c>
      <c r="K71" s="11">
        <f>IF(ISNUMBER(Raw_Data!J71),Raw_Data!J71,IFERROR(DATEVALUE(Raw_Data!J71),""))</f>
        <v>45058</v>
      </c>
      <c r="L71" s="8" t="str">
        <f t="shared" si="12"/>
        <v>gmail.com</v>
      </c>
      <c r="M71" s="8" t="str">
        <f t="shared" si="13"/>
        <v>CUS</v>
      </c>
      <c r="N71" s="8" t="str">
        <f t="shared" si="14"/>
        <v>02125</v>
      </c>
      <c r="O71" s="8" t="str">
        <f t="shared" si="15"/>
        <v>7286</v>
      </c>
      <c r="P71" s="8" t="str">
        <f t="shared" si="16"/>
        <v>Radwa Ali - Bronze</v>
      </c>
      <c r="Q71" s="12" t="str">
        <f>IF(B71="","Remove - missing ID",IF(OR(E71="",K71=""),"Remove - invalid date",IF(COUNTIF($B$2:B71,B71)&gt;1,"Remove - duplicate ID","Keep")))</f>
        <v>Keep</v>
      </c>
      <c r="R71" s="8" t="str">
        <f t="shared" si="17"/>
        <v>Yes</v>
      </c>
    </row>
    <row r="72" spans="1:18" x14ac:dyDescent="0.25">
      <c r="A72" s="8">
        <f>ROW(Raw_Data!A72)</f>
        <v>72</v>
      </c>
      <c r="B72" s="8" t="str">
        <f>TRIM(CLEAN(Raw_Data!A72))</f>
        <v>CUS02862</v>
      </c>
      <c r="C72" s="8" t="str">
        <f>IF(TRIM(CLEAN(Raw_Data!B72))="","Not Provided",PROPER(TRIM(CLEAN(Raw_Data!B72))))</f>
        <v>Hassan Mohamed</v>
      </c>
      <c r="D72" s="8" t="str">
        <f>IF(OR(PROPER(TRIM(CLEAN(Raw_Data!C72)))="Male",PROPER(TRIM(CLEAN(Raw_Data!C72)))="Female"),PROPER(TRIM(CLEAN(Raw_Data!C72))),"Unknown")</f>
        <v>Male</v>
      </c>
      <c r="E72" s="11" t="str">
        <f>IF(ISNUMBER(Raw_Data!D72),Raw_Data!D72,IFERROR(DATEVALUE(Raw_Data!D72),""))</f>
        <v/>
      </c>
      <c r="F72" s="8" t="str">
        <f>IF(TRIM(CLEAN(Raw_Data!E72))="","Not Provided",TRIM(CLEAN(Raw_Data!E72)))</f>
        <v>1082701326</v>
      </c>
      <c r="G72" s="8" t="str">
        <f>IF(TRIM(CLEAN(Raw_Data!F72))="","Not Provided",LOWER(TRIM(CLEAN(Raw_Data!F72))))</f>
        <v>hassan.mohamed1@yahoo.com</v>
      </c>
      <c r="H72" s="8" t="str">
        <f>IF(TRIM(CLEAN(Raw_Data!G72))="","Not Provided",PROPER(TRIM(CLEAN(Raw_Data!G72))))</f>
        <v>Giza</v>
      </c>
      <c r="I72" s="8" t="str">
        <f>IF(TRIM(CLEAN(Raw_Data!H72))="","Not Provided",PROPER(TRIM(CLEAN(Raw_Data!H72))))</f>
        <v>Greater Cairo</v>
      </c>
      <c r="J72" s="8" t="str">
        <f>IF(OR(PROPER(TRIM(CLEAN(Raw_Data!I72)))="Bronze",PROPER(TRIM(CLEAN(Raw_Data!I72)))="Silver",PROPER(TRIM(CLEAN(Raw_Data!I72)))="Gold"),PROPER(TRIM(CLEAN(Raw_Data!I72))),"Unknown")</f>
        <v>Gold</v>
      </c>
      <c r="K72" s="11">
        <f>IF(ISNUMBER(Raw_Data!J72),Raw_Data!J72,IFERROR(DATEVALUE(Raw_Data!J72),""))</f>
        <v>44793</v>
      </c>
      <c r="L72" s="8" t="str">
        <f t="shared" si="12"/>
        <v>yahoo.com</v>
      </c>
      <c r="M72" s="8" t="str">
        <f t="shared" si="13"/>
        <v>CUS</v>
      </c>
      <c r="N72" s="8" t="str">
        <f t="shared" si="14"/>
        <v>02862</v>
      </c>
      <c r="O72" s="8" t="str">
        <f t="shared" si="15"/>
        <v>1326</v>
      </c>
      <c r="P72" s="8" t="str">
        <f t="shared" si="16"/>
        <v>Hassan Mohamed - Gold</v>
      </c>
      <c r="Q72" s="12" t="str">
        <f>IF(B72="","Remove - missing ID",IF(OR(E72="",K72=""),"Remove - invalid date",IF(COUNTIF($B$2:B72,B72)&gt;1,"Remove - duplicate ID","Keep")))</f>
        <v>Remove - invalid date</v>
      </c>
      <c r="R72" s="8" t="str">
        <f t="shared" si="17"/>
        <v>No</v>
      </c>
    </row>
    <row r="73" spans="1:18" x14ac:dyDescent="0.25">
      <c r="A73" s="8">
        <f>ROW(Raw_Data!A73)</f>
        <v>73</v>
      </c>
      <c r="B73" s="8" t="str">
        <f>TRIM(CLEAN(Raw_Data!A73))</f>
        <v>CUS02590</v>
      </c>
      <c r="C73" s="8" t="str">
        <f>IF(TRIM(CLEAN(Raw_Data!B73))="","Not Provided",PROPER(TRIM(CLEAN(Raw_Data!B73))))</f>
        <v>Emad Fathy</v>
      </c>
      <c r="D73" s="8" t="str">
        <f>IF(OR(PROPER(TRIM(CLEAN(Raw_Data!C73)))="Male",PROPER(TRIM(CLEAN(Raw_Data!C73)))="Female"),PROPER(TRIM(CLEAN(Raw_Data!C73))),"Unknown")</f>
        <v>Male</v>
      </c>
      <c r="E73" s="11" t="str">
        <f>IF(ISNUMBER(Raw_Data!D73),Raw_Data!D73,IFERROR(DATEVALUE(Raw_Data!D73),""))</f>
        <v/>
      </c>
      <c r="F73" s="8" t="str">
        <f>IF(TRIM(CLEAN(Raw_Data!E73))="","Not Provided",TRIM(CLEAN(Raw_Data!E73)))</f>
        <v>1140198707</v>
      </c>
      <c r="G73" s="8" t="str">
        <f>IF(TRIM(CLEAN(Raw_Data!F73))="","Not Provided",LOWER(TRIM(CLEAN(Raw_Data!F73))))</f>
        <v>emad.fathy33@hotmail.com</v>
      </c>
      <c r="H73" s="8" t="str">
        <f>IF(TRIM(CLEAN(Raw_Data!G73))="","Not Provided",PROPER(TRIM(CLEAN(Raw_Data!G73))))</f>
        <v>Tanta</v>
      </c>
      <c r="I73" s="8" t="str">
        <f>IF(TRIM(CLEAN(Raw_Data!H73))="","Not Provided",PROPER(TRIM(CLEAN(Raw_Data!H73))))</f>
        <v>Nile Delta</v>
      </c>
      <c r="J73" s="8" t="str">
        <f>IF(OR(PROPER(TRIM(CLEAN(Raw_Data!I73)))="Bronze",PROPER(TRIM(CLEAN(Raw_Data!I73)))="Silver",PROPER(TRIM(CLEAN(Raw_Data!I73)))="Gold"),PROPER(TRIM(CLEAN(Raw_Data!I73))),"Unknown")</f>
        <v>Bronze</v>
      </c>
      <c r="K73" s="11">
        <f>IF(ISNUMBER(Raw_Data!J73),Raw_Data!J73,IFERROR(DATEVALUE(Raw_Data!J73),""))</f>
        <v>44597</v>
      </c>
      <c r="L73" s="8" t="str">
        <f t="shared" si="12"/>
        <v>hotmail.com</v>
      </c>
      <c r="M73" s="8" t="str">
        <f t="shared" si="13"/>
        <v>CUS</v>
      </c>
      <c r="N73" s="8" t="str">
        <f t="shared" si="14"/>
        <v>02590</v>
      </c>
      <c r="O73" s="8" t="str">
        <f t="shared" si="15"/>
        <v>8707</v>
      </c>
      <c r="P73" s="8" t="str">
        <f t="shared" si="16"/>
        <v>Emad Fathy - Bronze</v>
      </c>
      <c r="Q73" s="12" t="str">
        <f>IF(B73="","Remove - missing ID",IF(OR(E73="",K73=""),"Remove - invalid date",IF(COUNTIF($B$2:B73,B73)&gt;1,"Remove - duplicate ID","Keep")))</f>
        <v>Remove - invalid date</v>
      </c>
      <c r="R73" s="8" t="str">
        <f t="shared" si="17"/>
        <v>No</v>
      </c>
    </row>
    <row r="74" spans="1:18" x14ac:dyDescent="0.25">
      <c r="A74" s="8">
        <f>ROW(Raw_Data!A74)</f>
        <v>74</v>
      </c>
      <c r="B74" s="8" t="str">
        <f>TRIM(CLEAN(Raw_Data!A74))</f>
        <v>CUS02445</v>
      </c>
      <c r="C74" s="8" t="str">
        <f>IF(TRIM(CLEAN(Raw_Data!B74))="","Not Provided",PROPER(TRIM(CLEAN(Raw_Data!B74))))</f>
        <v>Nadia Amin</v>
      </c>
      <c r="D74" s="8" t="str">
        <f>IF(OR(PROPER(TRIM(CLEAN(Raw_Data!C74)))="Male",PROPER(TRIM(CLEAN(Raw_Data!C74)))="Female"),PROPER(TRIM(CLEAN(Raw_Data!C74))),"Unknown")</f>
        <v>Female</v>
      </c>
      <c r="E74" s="11">
        <f>IF(ISNUMBER(Raw_Data!D74),Raw_Data!D74,IFERROR(DATEVALUE(Raw_Data!D74),""))</f>
        <v>29998</v>
      </c>
      <c r="F74" s="8" t="str">
        <f>IF(TRIM(CLEAN(Raw_Data!E74))="","Not Provided",TRIM(CLEAN(Raw_Data!E74)))</f>
        <v>1231347320</v>
      </c>
      <c r="G74" s="8" t="str">
        <f>IF(TRIM(CLEAN(Raw_Data!F74))="","Not Provided",LOWER(TRIM(CLEAN(Raw_Data!F74))))</f>
        <v>nadia.amin79@outlook.com</v>
      </c>
      <c r="H74" s="8" t="str">
        <f>IF(TRIM(CLEAN(Raw_Data!G74))="","Not Provided",PROPER(TRIM(CLEAN(Raw_Data!G74))))</f>
        <v>Giza</v>
      </c>
      <c r="I74" s="8" t="str">
        <f>IF(TRIM(CLEAN(Raw_Data!H74))="","Not Provided",PROPER(TRIM(CLEAN(Raw_Data!H74))))</f>
        <v>Greater Cairo</v>
      </c>
      <c r="J74" s="8" t="str">
        <f>IF(OR(PROPER(TRIM(CLEAN(Raw_Data!I74)))="Bronze",PROPER(TRIM(CLEAN(Raw_Data!I74)))="Silver",PROPER(TRIM(CLEAN(Raw_Data!I74)))="Gold"),PROPER(TRIM(CLEAN(Raw_Data!I74))),"Unknown")</f>
        <v>Bronze</v>
      </c>
      <c r="K74" s="11">
        <f>IF(ISNUMBER(Raw_Data!J74),Raw_Data!J74,IFERROR(DATEVALUE(Raw_Data!J74),""))</f>
        <v>45112</v>
      </c>
      <c r="L74" s="8" t="str">
        <f t="shared" si="12"/>
        <v>outlook.com</v>
      </c>
      <c r="M74" s="8" t="str">
        <f t="shared" si="13"/>
        <v>CUS</v>
      </c>
      <c r="N74" s="8" t="str">
        <f t="shared" si="14"/>
        <v>02445</v>
      </c>
      <c r="O74" s="8" t="str">
        <f t="shared" si="15"/>
        <v>7320</v>
      </c>
      <c r="P74" s="8" t="str">
        <f t="shared" si="16"/>
        <v>Nadia Amin - Bronze</v>
      </c>
      <c r="Q74" s="12" t="str">
        <f>IF(B74="","Remove - missing ID",IF(OR(E74="",K74=""),"Remove - invalid date",IF(COUNTIF($B$2:B74,B74)&gt;1,"Remove - duplicate ID","Keep")))</f>
        <v>Keep</v>
      </c>
      <c r="R74" s="8" t="str">
        <f t="shared" si="17"/>
        <v>Yes</v>
      </c>
    </row>
    <row r="75" spans="1:18" x14ac:dyDescent="0.25">
      <c r="A75" s="8">
        <f>ROW(Raw_Data!A75)</f>
        <v>75</v>
      </c>
      <c r="B75" s="8" t="str">
        <f>TRIM(CLEAN(Raw_Data!A75))</f>
        <v>CUS01452</v>
      </c>
      <c r="C75" s="8" t="str">
        <f>IF(TRIM(CLEAN(Raw_Data!B75))="","Not Provided",PROPER(TRIM(CLEAN(Raw_Data!B75))))</f>
        <v>Dalia Ramadan</v>
      </c>
      <c r="D75" s="8" t="str">
        <f>IF(OR(PROPER(TRIM(CLEAN(Raw_Data!C75)))="Male",PROPER(TRIM(CLEAN(Raw_Data!C75)))="Female"),PROPER(TRIM(CLEAN(Raw_Data!C75))),"Unknown")</f>
        <v>Female</v>
      </c>
      <c r="E75" s="11">
        <f>IF(ISNUMBER(Raw_Data!D75),Raw_Data!D75,IFERROR(DATEVALUE(Raw_Data!D75),""))</f>
        <v>36930</v>
      </c>
      <c r="F75" s="8" t="str">
        <f>IF(TRIM(CLEAN(Raw_Data!E75))="","Not Provided",TRIM(CLEAN(Raw_Data!E75)))</f>
        <v>1169880867</v>
      </c>
      <c r="G75" s="8" t="str">
        <f>IF(TRIM(CLEAN(Raw_Data!F75))="","Not Provided",LOWER(TRIM(CLEAN(Raw_Data!F75))))</f>
        <v>dalia.ramadan65@outlook.com</v>
      </c>
      <c r="H75" s="8" t="str">
        <f>IF(TRIM(CLEAN(Raw_Data!G75))="","Not Provided",PROPER(TRIM(CLEAN(Raw_Data!G75))))</f>
        <v>Mansoura</v>
      </c>
      <c r="I75" s="8" t="str">
        <f>IF(TRIM(CLEAN(Raw_Data!H75))="","Not Provided",PROPER(TRIM(CLEAN(Raw_Data!H75))))</f>
        <v>Nile Delta</v>
      </c>
      <c r="J75" s="8" t="str">
        <f>IF(OR(PROPER(TRIM(CLEAN(Raw_Data!I75)))="Bronze",PROPER(TRIM(CLEAN(Raw_Data!I75)))="Silver",PROPER(TRIM(CLEAN(Raw_Data!I75)))="Gold"),PROPER(TRIM(CLEAN(Raw_Data!I75))),"Unknown")</f>
        <v>Silver</v>
      </c>
      <c r="K75" s="11">
        <f>IF(ISNUMBER(Raw_Data!J75),Raw_Data!J75,IFERROR(DATEVALUE(Raw_Data!J75),""))</f>
        <v>44385</v>
      </c>
      <c r="L75" s="8" t="str">
        <f t="shared" si="12"/>
        <v>outlook.com</v>
      </c>
      <c r="M75" s="8" t="str">
        <f t="shared" si="13"/>
        <v>CUS</v>
      </c>
      <c r="N75" s="8" t="str">
        <f t="shared" si="14"/>
        <v>01452</v>
      </c>
      <c r="O75" s="8" t="str">
        <f t="shared" si="15"/>
        <v>0867</v>
      </c>
      <c r="P75" s="8" t="str">
        <f t="shared" si="16"/>
        <v>Dalia Ramadan - Silver</v>
      </c>
      <c r="Q75" s="12" t="str">
        <f>IF(B75="","Remove - missing ID",IF(OR(E75="",K75=""),"Remove - invalid date",IF(COUNTIF($B$2:B75,B75)&gt;1,"Remove - duplicate ID","Keep")))</f>
        <v>Keep</v>
      </c>
      <c r="R75" s="8" t="str">
        <f t="shared" si="17"/>
        <v>Yes</v>
      </c>
    </row>
    <row r="76" spans="1:18" x14ac:dyDescent="0.25">
      <c r="A76" s="8">
        <f>ROW(Raw_Data!A76)</f>
        <v>76</v>
      </c>
      <c r="B76" s="8" t="str">
        <f>TRIM(CLEAN(Raw_Data!A76))</f>
        <v>CUS00140</v>
      </c>
      <c r="C76" s="8" t="str">
        <f>IF(TRIM(CLEAN(Raw_Data!B76))="","Not Provided",PROPER(TRIM(CLEAN(Raw_Data!B76))))</f>
        <v>Reem Ali</v>
      </c>
      <c r="D76" s="8" t="str">
        <f>IF(OR(PROPER(TRIM(CLEAN(Raw_Data!C76)))="Male",PROPER(TRIM(CLEAN(Raw_Data!C76)))="Female"),PROPER(TRIM(CLEAN(Raw_Data!C76))),"Unknown")</f>
        <v>Female</v>
      </c>
      <c r="E76" s="11">
        <f>IF(ISNUMBER(Raw_Data!D76),Raw_Data!D76,IFERROR(DATEVALUE(Raw_Data!D76),""))</f>
        <v>30187</v>
      </c>
      <c r="F76" s="8" t="str">
        <f>IF(TRIM(CLEAN(Raw_Data!E76))="","Not Provided",TRIM(CLEAN(Raw_Data!E76)))</f>
        <v>1079946108</v>
      </c>
      <c r="G76" s="8" t="str">
        <f>IF(TRIM(CLEAN(Raw_Data!F76))="","Not Provided",LOWER(TRIM(CLEAN(Raw_Data!F76))))</f>
        <v>reem.ali42@yahoo.com</v>
      </c>
      <c r="H76" s="8" t="str">
        <f>IF(TRIM(CLEAN(Raw_Data!G76))="","Not Provided",PROPER(TRIM(CLEAN(Raw_Data!G76))))</f>
        <v>Ismailia</v>
      </c>
      <c r="I76" s="8" t="str">
        <f>IF(TRIM(CLEAN(Raw_Data!H76))="","Not Provided",PROPER(TRIM(CLEAN(Raw_Data!H76))))</f>
        <v>Canal Zone</v>
      </c>
      <c r="J76" s="8" t="str">
        <f>IF(OR(PROPER(TRIM(CLEAN(Raw_Data!I76)))="Bronze",PROPER(TRIM(CLEAN(Raw_Data!I76)))="Silver",PROPER(TRIM(CLEAN(Raw_Data!I76)))="Gold"),PROPER(TRIM(CLEAN(Raw_Data!I76))),"Unknown")</f>
        <v>Silver</v>
      </c>
      <c r="K76" s="11">
        <f>IF(ISNUMBER(Raw_Data!J76),Raw_Data!J76,IFERROR(DATEVALUE(Raw_Data!J76),""))</f>
        <v>44183</v>
      </c>
      <c r="L76" s="8" t="str">
        <f t="shared" si="12"/>
        <v>yahoo.com</v>
      </c>
      <c r="M76" s="8" t="str">
        <f t="shared" si="13"/>
        <v>CUS</v>
      </c>
      <c r="N76" s="8" t="str">
        <f t="shared" si="14"/>
        <v>00140</v>
      </c>
      <c r="O76" s="8" t="str">
        <f t="shared" si="15"/>
        <v>6108</v>
      </c>
      <c r="P76" s="8" t="str">
        <f t="shared" si="16"/>
        <v>Reem Ali - Silver</v>
      </c>
      <c r="Q76" s="12" t="str">
        <f>IF(B76="","Remove - missing ID",IF(OR(E76="",K76=""),"Remove - invalid date",IF(COUNTIF($B$2:B76,B76)&gt;1,"Remove - duplicate ID","Keep")))</f>
        <v>Keep</v>
      </c>
      <c r="R76" s="8" t="str">
        <f t="shared" si="17"/>
        <v>Yes</v>
      </c>
    </row>
    <row r="77" spans="1:18" x14ac:dyDescent="0.25">
      <c r="A77" s="8">
        <f>ROW(Raw_Data!A77)</f>
        <v>77</v>
      </c>
      <c r="B77" s="8" t="str">
        <f>TRIM(CLEAN(Raw_Data!A77))</f>
        <v>CUS02575</v>
      </c>
      <c r="C77" s="8" t="str">
        <f>IF(TRIM(CLEAN(Raw_Data!B77))="","Not Provided",PROPER(TRIM(CLEAN(Raw_Data!B77))))</f>
        <v>Bassem Badawi</v>
      </c>
      <c r="D77" s="8" t="str">
        <f>IF(OR(PROPER(TRIM(CLEAN(Raw_Data!C77)))="Male",PROPER(TRIM(CLEAN(Raw_Data!C77)))="Female"),PROPER(TRIM(CLEAN(Raw_Data!C77))),"Unknown")</f>
        <v>Male</v>
      </c>
      <c r="E77" s="11">
        <f>IF(ISNUMBER(Raw_Data!D77),Raw_Data!D77,IFERROR(DATEVALUE(Raw_Data!D77),""))</f>
        <v>33461</v>
      </c>
      <c r="F77" s="8" t="str">
        <f>IF(TRIM(CLEAN(Raw_Data!E77))="","Not Provided",TRIM(CLEAN(Raw_Data!E77)))</f>
        <v>1145280103</v>
      </c>
      <c r="G77" s="8" t="str">
        <f>IF(TRIM(CLEAN(Raw_Data!F77))="","Not Provided",LOWER(TRIM(CLEAN(Raw_Data!F77))))</f>
        <v>bassem.badawi24@outlook.com</v>
      </c>
      <c r="H77" s="8" t="str">
        <f>IF(TRIM(CLEAN(Raw_Data!G77))="","Not Provided",PROPER(TRIM(CLEAN(Raw_Data!G77))))</f>
        <v>Cairo</v>
      </c>
      <c r="I77" s="8" t="str">
        <f>IF(TRIM(CLEAN(Raw_Data!H77))="","Not Provided",PROPER(TRIM(CLEAN(Raw_Data!H77))))</f>
        <v>Greater Cairo</v>
      </c>
      <c r="J77" s="8" t="str">
        <f>IF(OR(PROPER(TRIM(CLEAN(Raw_Data!I77)))="Bronze",PROPER(TRIM(CLEAN(Raw_Data!I77)))="Silver",PROPER(TRIM(CLEAN(Raw_Data!I77)))="Gold"),PROPER(TRIM(CLEAN(Raw_Data!I77))),"Unknown")</f>
        <v>Bronze</v>
      </c>
      <c r="K77" s="11">
        <f>IF(ISNUMBER(Raw_Data!J77),Raw_Data!J77,IFERROR(DATEVALUE(Raw_Data!J77),""))</f>
        <v>43989</v>
      </c>
      <c r="L77" s="8" t="str">
        <f t="shared" si="12"/>
        <v>outlook.com</v>
      </c>
      <c r="M77" s="8" t="str">
        <f t="shared" si="13"/>
        <v>CUS</v>
      </c>
      <c r="N77" s="8" t="str">
        <f t="shared" si="14"/>
        <v>02575</v>
      </c>
      <c r="O77" s="8" t="str">
        <f t="shared" si="15"/>
        <v>0103</v>
      </c>
      <c r="P77" s="8" t="str">
        <f t="shared" si="16"/>
        <v>Bassem Badawi - Bronze</v>
      </c>
      <c r="Q77" s="12" t="str">
        <f>IF(B77="","Remove - missing ID",IF(OR(E77="",K77=""),"Remove - invalid date",IF(COUNTIF($B$2:B77,B77)&gt;1,"Remove - duplicate ID","Keep")))</f>
        <v>Keep</v>
      </c>
      <c r="R77" s="8" t="str">
        <f t="shared" si="17"/>
        <v>Yes</v>
      </c>
    </row>
    <row r="78" spans="1:18" x14ac:dyDescent="0.25">
      <c r="A78" s="8">
        <f>ROW(Raw_Data!A78)</f>
        <v>78</v>
      </c>
      <c r="B78" s="8" t="str">
        <f>TRIM(CLEAN(Raw_Data!A78))</f>
        <v>CUS00582</v>
      </c>
      <c r="C78" s="8" t="str">
        <f>IF(TRIM(CLEAN(Raw_Data!B78))="","Not Provided",PROPER(TRIM(CLEAN(Raw_Data!B78))))</f>
        <v>Hana Ramadan</v>
      </c>
      <c r="D78" s="8" t="str">
        <f>IF(OR(PROPER(TRIM(CLEAN(Raw_Data!C78)))="Male",PROPER(TRIM(CLEAN(Raw_Data!C78)))="Female"),PROPER(TRIM(CLEAN(Raw_Data!C78))),"Unknown")</f>
        <v>Female</v>
      </c>
      <c r="E78" s="11">
        <f>IF(ISNUMBER(Raw_Data!D78),Raw_Data!D78,IFERROR(DATEVALUE(Raw_Data!D78),""))</f>
        <v>32134</v>
      </c>
      <c r="F78" s="8" t="str">
        <f>IF(TRIM(CLEAN(Raw_Data!E78))="","Not Provided",TRIM(CLEAN(Raw_Data!E78)))</f>
        <v>1047158689</v>
      </c>
      <c r="G78" s="8" t="str">
        <f>IF(TRIM(CLEAN(Raw_Data!F78))="","Not Provided",LOWER(TRIM(CLEAN(Raw_Data!F78))))</f>
        <v>hana.ramadan37@hotmail.com</v>
      </c>
      <c r="H78" s="8" t="str">
        <f>IF(TRIM(CLEAN(Raw_Data!G78))="","Not Provided",PROPER(TRIM(CLEAN(Raw_Data!G78))))</f>
        <v>Ismailia</v>
      </c>
      <c r="I78" s="8" t="str">
        <f>IF(TRIM(CLEAN(Raw_Data!H78))="","Not Provided",PROPER(TRIM(CLEAN(Raw_Data!H78))))</f>
        <v>Canal Zone</v>
      </c>
      <c r="J78" s="8" t="str">
        <f>IF(OR(PROPER(TRIM(CLEAN(Raw_Data!I78)))="Bronze",PROPER(TRIM(CLEAN(Raw_Data!I78)))="Silver",PROPER(TRIM(CLEAN(Raw_Data!I78)))="Gold"),PROPER(TRIM(CLEAN(Raw_Data!I78))),"Unknown")</f>
        <v>Bronze</v>
      </c>
      <c r="K78" s="11">
        <f>IF(ISNUMBER(Raw_Data!J78),Raw_Data!J78,IFERROR(DATEVALUE(Raw_Data!J78),""))</f>
        <v>44019</v>
      </c>
      <c r="L78" s="8" t="str">
        <f t="shared" si="12"/>
        <v>hotmail.com</v>
      </c>
      <c r="M78" s="8" t="str">
        <f t="shared" si="13"/>
        <v>CUS</v>
      </c>
      <c r="N78" s="8" t="str">
        <f t="shared" si="14"/>
        <v>00582</v>
      </c>
      <c r="O78" s="8" t="str">
        <f t="shared" si="15"/>
        <v>8689</v>
      </c>
      <c r="P78" s="8" t="str">
        <f t="shared" si="16"/>
        <v>Hana Ramadan - Bronze</v>
      </c>
      <c r="Q78" s="12" t="str">
        <f>IF(B78="","Remove - missing ID",IF(OR(E78="",K78=""),"Remove - invalid date",IF(COUNTIF($B$2:B78,B78)&gt;1,"Remove - duplicate ID","Keep")))</f>
        <v>Keep</v>
      </c>
      <c r="R78" s="8" t="str">
        <f t="shared" si="17"/>
        <v>Yes</v>
      </c>
    </row>
    <row r="79" spans="1:18" x14ac:dyDescent="0.25">
      <c r="A79" s="8">
        <f>ROW(Raw_Data!A79)</f>
        <v>79</v>
      </c>
      <c r="B79" s="8" t="str">
        <f>TRIM(CLEAN(Raw_Data!A79))</f>
        <v>CUS02606</v>
      </c>
      <c r="C79" s="8" t="str">
        <f>IF(TRIM(CLEAN(Raw_Data!B79))="","Not Provided",PROPER(TRIM(CLEAN(Raw_Data!B79))))</f>
        <v>Reem Badawi</v>
      </c>
      <c r="D79" s="8" t="str">
        <f>IF(OR(PROPER(TRIM(CLEAN(Raw_Data!C79)))="Male",PROPER(TRIM(CLEAN(Raw_Data!C79)))="Female"),PROPER(TRIM(CLEAN(Raw_Data!C79))),"Unknown")</f>
        <v>Female</v>
      </c>
      <c r="E79" s="11">
        <f>IF(ISNUMBER(Raw_Data!D79),Raw_Data!D79,IFERROR(DATEVALUE(Raw_Data!D79),""))</f>
        <v>37625</v>
      </c>
      <c r="F79" s="8" t="str">
        <f>IF(TRIM(CLEAN(Raw_Data!E79))="","Not Provided",TRIM(CLEAN(Raw_Data!E79)))</f>
        <v>1219554390</v>
      </c>
      <c r="G79" s="8" t="str">
        <f>IF(TRIM(CLEAN(Raw_Data!F79))="","Not Provided",LOWER(TRIM(CLEAN(Raw_Data!F79))))</f>
        <v>reem.badawi76@hotmail.com</v>
      </c>
      <c r="H79" s="8" t="str">
        <f>IF(TRIM(CLEAN(Raw_Data!G79))="","Not Provided",PROPER(TRIM(CLEAN(Raw_Data!G79))))</f>
        <v>Alexandria</v>
      </c>
      <c r="I79" s="8" t="str">
        <f>IF(TRIM(CLEAN(Raw_Data!H79))="","Not Provided",PROPER(TRIM(CLEAN(Raw_Data!H79))))</f>
        <v>Alexandria</v>
      </c>
      <c r="J79" s="8" t="str">
        <f>IF(OR(PROPER(TRIM(CLEAN(Raw_Data!I79)))="Bronze",PROPER(TRIM(CLEAN(Raw_Data!I79)))="Silver",PROPER(TRIM(CLEAN(Raw_Data!I79)))="Gold"),PROPER(TRIM(CLEAN(Raw_Data!I79))),"Unknown")</f>
        <v>Silver</v>
      </c>
      <c r="K79" s="11">
        <f>IF(ISNUMBER(Raw_Data!J79),Raw_Data!J79,IFERROR(DATEVALUE(Raw_Data!J79),""))</f>
        <v>45253</v>
      </c>
      <c r="L79" s="8" t="str">
        <f t="shared" si="12"/>
        <v>hotmail.com</v>
      </c>
      <c r="M79" s="8" t="str">
        <f t="shared" si="13"/>
        <v>CUS</v>
      </c>
      <c r="N79" s="8" t="str">
        <f t="shared" si="14"/>
        <v>02606</v>
      </c>
      <c r="O79" s="8" t="str">
        <f t="shared" si="15"/>
        <v>4390</v>
      </c>
      <c r="P79" s="8" t="str">
        <f t="shared" si="16"/>
        <v>Reem Badawi - Silver</v>
      </c>
      <c r="Q79" s="12" t="str">
        <f>IF(B79="","Remove - missing ID",IF(OR(E79="",K79=""),"Remove - invalid date",IF(COUNTIF($B$2:B79,B79)&gt;1,"Remove - duplicate ID","Keep")))</f>
        <v>Keep</v>
      </c>
      <c r="R79" s="8" t="str">
        <f t="shared" si="17"/>
        <v>Yes</v>
      </c>
    </row>
    <row r="80" spans="1:18" x14ac:dyDescent="0.25">
      <c r="A80" s="8">
        <f>ROW(Raw_Data!A80)</f>
        <v>80</v>
      </c>
      <c r="B80" s="8" t="str">
        <f>TRIM(CLEAN(Raw_Data!A80))</f>
        <v>CUS00810</v>
      </c>
      <c r="C80" s="8" t="str">
        <f>IF(TRIM(CLEAN(Raw_Data!B80))="","Not Provided",PROPER(TRIM(CLEAN(Raw_Data!B80))))</f>
        <v>Karim Gouda</v>
      </c>
      <c r="D80" s="8" t="str">
        <f>IF(OR(PROPER(TRIM(CLEAN(Raw_Data!C80)))="Male",PROPER(TRIM(CLEAN(Raw_Data!C80)))="Female"),PROPER(TRIM(CLEAN(Raw_Data!C80))),"Unknown")</f>
        <v>Male</v>
      </c>
      <c r="E80" s="11">
        <f>IF(ISNUMBER(Raw_Data!D80),Raw_Data!D80,IFERROR(DATEVALUE(Raw_Data!D80),""))</f>
        <v>27998</v>
      </c>
      <c r="F80" s="8" t="str">
        <f>IF(TRIM(CLEAN(Raw_Data!E80))="","Not Provided",TRIM(CLEAN(Raw_Data!E80)))</f>
        <v>1296912383</v>
      </c>
      <c r="G80" s="8" t="str">
        <f>IF(TRIM(CLEAN(Raw_Data!F80))="","Not Provided",LOWER(TRIM(CLEAN(Raw_Data!F80))))</f>
        <v>karim.gouda93@yahoo.com</v>
      </c>
      <c r="H80" s="8" t="str">
        <f>IF(TRIM(CLEAN(Raw_Data!G80))="","Not Provided",PROPER(TRIM(CLEAN(Raw_Data!G80))))</f>
        <v>Cairo</v>
      </c>
      <c r="I80" s="8" t="str">
        <f>IF(TRIM(CLEAN(Raw_Data!H80))="","Not Provided",PROPER(TRIM(CLEAN(Raw_Data!H80))))</f>
        <v>Greater Cairo</v>
      </c>
      <c r="J80" s="8" t="str">
        <f>IF(OR(PROPER(TRIM(CLEAN(Raw_Data!I80)))="Bronze",PROPER(TRIM(CLEAN(Raw_Data!I80)))="Silver",PROPER(TRIM(CLEAN(Raw_Data!I80)))="Gold"),PROPER(TRIM(CLEAN(Raw_Data!I80))),"Unknown")</f>
        <v>Silver</v>
      </c>
      <c r="K80" s="11">
        <f>IF(ISNUMBER(Raw_Data!J80),Raw_Data!J80,IFERROR(DATEVALUE(Raw_Data!J80),""))</f>
        <v>44725</v>
      </c>
      <c r="L80" s="8" t="str">
        <f t="shared" si="12"/>
        <v>yahoo.com</v>
      </c>
      <c r="M80" s="8" t="str">
        <f t="shared" si="13"/>
        <v>CUS</v>
      </c>
      <c r="N80" s="8" t="str">
        <f t="shared" si="14"/>
        <v>00810</v>
      </c>
      <c r="O80" s="8" t="str">
        <f t="shared" si="15"/>
        <v>2383</v>
      </c>
      <c r="P80" s="8" t="str">
        <f t="shared" si="16"/>
        <v>Karim Gouda - Silver</v>
      </c>
      <c r="Q80" s="12" t="str">
        <f>IF(B80="","Remove - missing ID",IF(OR(E80="",K80=""),"Remove - invalid date",IF(COUNTIF($B$2:B80,B80)&gt;1,"Remove - duplicate ID","Keep")))</f>
        <v>Keep</v>
      </c>
      <c r="R80" s="8" t="str">
        <f t="shared" si="17"/>
        <v>Yes</v>
      </c>
    </row>
    <row r="81" spans="1:18" x14ac:dyDescent="0.25">
      <c r="A81" s="8">
        <f>ROW(Raw_Data!A81)</f>
        <v>81</v>
      </c>
      <c r="B81" s="8" t="str">
        <f>TRIM(CLEAN(Raw_Data!A81))</f>
        <v>CUS02592</v>
      </c>
      <c r="C81" s="8" t="str">
        <f>IF(TRIM(CLEAN(Raw_Data!B81))="","Not Provided",PROPER(TRIM(CLEAN(Raw_Data!B81))))</f>
        <v>Mohamed Younis</v>
      </c>
      <c r="D81" s="8" t="str">
        <f>IF(OR(PROPER(TRIM(CLEAN(Raw_Data!C81)))="Male",PROPER(TRIM(CLEAN(Raw_Data!C81)))="Female"),PROPER(TRIM(CLEAN(Raw_Data!C81))),"Unknown")</f>
        <v>Male</v>
      </c>
      <c r="E81" s="11" t="str">
        <f>IF(ISNUMBER(Raw_Data!D81),Raw_Data!D81,IFERROR(DATEVALUE(Raw_Data!D81),""))</f>
        <v/>
      </c>
      <c r="F81" s="8" t="str">
        <f>IF(TRIM(CLEAN(Raw_Data!E81))="","Not Provided",TRIM(CLEAN(Raw_Data!E81)))</f>
        <v>1193079615</v>
      </c>
      <c r="G81" s="8" t="str">
        <f>IF(TRIM(CLEAN(Raw_Data!F81))="","Not Provided",LOWER(TRIM(CLEAN(Raw_Data!F81))))</f>
        <v>mohamed.younis28@yahoo.com</v>
      </c>
      <c r="H81" s="8" t="str">
        <f>IF(TRIM(CLEAN(Raw_Data!G81))="","Not Provided",PROPER(TRIM(CLEAN(Raw_Data!G81))))</f>
        <v>Hurghada</v>
      </c>
      <c r="I81" s="8" t="str">
        <f>IF(TRIM(CLEAN(Raw_Data!H81))="","Not Provided",PROPER(TRIM(CLEAN(Raw_Data!H81))))</f>
        <v>Red Sea</v>
      </c>
      <c r="J81" s="8" t="str">
        <f>IF(OR(PROPER(TRIM(CLEAN(Raw_Data!I81)))="Bronze",PROPER(TRIM(CLEAN(Raw_Data!I81)))="Silver",PROPER(TRIM(CLEAN(Raw_Data!I81)))="Gold"),PROPER(TRIM(CLEAN(Raw_Data!I81))),"Unknown")</f>
        <v>Gold</v>
      </c>
      <c r="K81" s="11">
        <f>IF(ISNUMBER(Raw_Data!J81),Raw_Data!J81,IFERROR(DATEVALUE(Raw_Data!J81),""))</f>
        <v>43987</v>
      </c>
      <c r="L81" s="8" t="str">
        <f t="shared" si="12"/>
        <v>yahoo.com</v>
      </c>
      <c r="M81" s="8" t="str">
        <f t="shared" si="13"/>
        <v>CUS</v>
      </c>
      <c r="N81" s="8" t="str">
        <f t="shared" si="14"/>
        <v>02592</v>
      </c>
      <c r="O81" s="8" t="str">
        <f t="shared" si="15"/>
        <v>9615</v>
      </c>
      <c r="P81" s="8" t="str">
        <f t="shared" si="16"/>
        <v>Mohamed Younis - Gold</v>
      </c>
      <c r="Q81" s="12" t="str">
        <f>IF(B81="","Remove - missing ID",IF(OR(E81="",K81=""),"Remove - invalid date",IF(COUNTIF($B$2:B81,B81)&gt;1,"Remove - duplicate ID","Keep")))</f>
        <v>Remove - invalid date</v>
      </c>
      <c r="R81" s="8" t="str">
        <f t="shared" si="17"/>
        <v>No</v>
      </c>
    </row>
    <row r="82" spans="1:18" x14ac:dyDescent="0.25">
      <c r="A82" s="8">
        <f>ROW(Raw_Data!A82)</f>
        <v>82</v>
      </c>
      <c r="B82" s="8" t="str">
        <f>TRIM(CLEAN(Raw_Data!A82))</f>
        <v>CUS01823</v>
      </c>
      <c r="C82" s="8" t="str">
        <f>IF(TRIM(CLEAN(Raw_Data!B82))="","Not Provided",PROPER(TRIM(CLEAN(Raw_Data!B82))))</f>
        <v>Lobna Attia</v>
      </c>
      <c r="D82" s="8" t="str">
        <f>IF(OR(PROPER(TRIM(CLEAN(Raw_Data!C82)))="Male",PROPER(TRIM(CLEAN(Raw_Data!C82)))="Female"),PROPER(TRIM(CLEAN(Raw_Data!C82))),"Unknown")</f>
        <v>Female</v>
      </c>
      <c r="E82" s="11">
        <f>IF(ISNUMBER(Raw_Data!D82),Raw_Data!D82,IFERROR(DATEVALUE(Raw_Data!D82),""))</f>
        <v>34900</v>
      </c>
      <c r="F82" s="8" t="str">
        <f>IF(TRIM(CLEAN(Raw_Data!E82))="","Not Provided",TRIM(CLEAN(Raw_Data!E82)))</f>
        <v>1090607170</v>
      </c>
      <c r="G82" s="8" t="str">
        <f>IF(TRIM(CLEAN(Raw_Data!F82))="","Not Provided",LOWER(TRIM(CLEAN(Raw_Data!F82))))</f>
        <v>lobna.attia37@outlook.com</v>
      </c>
      <c r="H82" s="8" t="str">
        <f>IF(TRIM(CLEAN(Raw_Data!G82))="","Not Provided",PROPER(TRIM(CLEAN(Raw_Data!G82))))</f>
        <v>Mansoura</v>
      </c>
      <c r="I82" s="8" t="str">
        <f>IF(TRIM(CLEAN(Raw_Data!H82))="","Not Provided",PROPER(TRIM(CLEAN(Raw_Data!H82))))</f>
        <v>Nile Delta</v>
      </c>
      <c r="J82" s="8" t="str">
        <f>IF(OR(PROPER(TRIM(CLEAN(Raw_Data!I82)))="Bronze",PROPER(TRIM(CLEAN(Raw_Data!I82)))="Silver",PROPER(TRIM(CLEAN(Raw_Data!I82)))="Gold"),PROPER(TRIM(CLEAN(Raw_Data!I82))),"Unknown")</f>
        <v>Bronze</v>
      </c>
      <c r="K82" s="11">
        <f>IF(ISNUMBER(Raw_Data!J82),Raw_Data!J82,IFERROR(DATEVALUE(Raw_Data!J82),""))</f>
        <v>44460</v>
      </c>
      <c r="L82" s="8" t="str">
        <f t="shared" si="12"/>
        <v>outlook.com</v>
      </c>
      <c r="M82" s="8" t="str">
        <f t="shared" si="13"/>
        <v>CUS</v>
      </c>
      <c r="N82" s="8" t="str">
        <f t="shared" si="14"/>
        <v>01823</v>
      </c>
      <c r="O82" s="8" t="str">
        <f t="shared" si="15"/>
        <v>7170</v>
      </c>
      <c r="P82" s="8" t="str">
        <f t="shared" si="16"/>
        <v>Lobna Attia - Bronze</v>
      </c>
      <c r="Q82" s="12" t="str">
        <f>IF(B82="","Remove - missing ID",IF(OR(E82="",K82=""),"Remove - invalid date",IF(COUNTIF($B$2:B82,B82)&gt;1,"Remove - duplicate ID","Keep")))</f>
        <v>Keep</v>
      </c>
      <c r="R82" s="8" t="str">
        <f t="shared" si="17"/>
        <v>Yes</v>
      </c>
    </row>
    <row r="83" spans="1:18" x14ac:dyDescent="0.25">
      <c r="A83" s="8">
        <f>ROW(Raw_Data!A83)</f>
        <v>83</v>
      </c>
      <c r="B83" s="8" t="str">
        <f>TRIM(CLEAN(Raw_Data!A83))</f>
        <v>CUS01476</v>
      </c>
      <c r="C83" s="8" t="str">
        <f>IF(TRIM(CLEAN(Raw_Data!B83))="","Not Provided",PROPER(TRIM(CLEAN(Raw_Data!B83))))</f>
        <v>Amr Ali</v>
      </c>
      <c r="D83" s="8" t="str">
        <f>IF(OR(PROPER(TRIM(CLEAN(Raw_Data!C83)))="Male",PROPER(TRIM(CLEAN(Raw_Data!C83)))="Female"),PROPER(TRIM(CLEAN(Raw_Data!C83))),"Unknown")</f>
        <v>Male</v>
      </c>
      <c r="E83" s="11" t="str">
        <f>IF(ISNUMBER(Raw_Data!D83),Raw_Data!D83,IFERROR(DATEVALUE(Raw_Data!D83),""))</f>
        <v/>
      </c>
      <c r="F83" s="8" t="str">
        <f>IF(TRIM(CLEAN(Raw_Data!E83))="","Not Provided",TRIM(CLEAN(Raw_Data!E83)))</f>
        <v>1161218112</v>
      </c>
      <c r="G83" s="8" t="str">
        <f>IF(TRIM(CLEAN(Raw_Data!F83))="","Not Provided",LOWER(TRIM(CLEAN(Raw_Data!F83))))</f>
        <v>amr.ali22@hotmail.com</v>
      </c>
      <c r="H83" s="8" t="str">
        <f>IF(TRIM(CLEAN(Raw_Data!G83))="","Not Provided",PROPER(TRIM(CLEAN(Raw_Data!G83))))</f>
        <v>Mansoura</v>
      </c>
      <c r="I83" s="8" t="str">
        <f>IF(TRIM(CLEAN(Raw_Data!H83))="","Not Provided",PROPER(TRIM(CLEAN(Raw_Data!H83))))</f>
        <v>Nile Delta</v>
      </c>
      <c r="J83" s="8" t="str">
        <f>IF(OR(PROPER(TRIM(CLEAN(Raw_Data!I83)))="Bronze",PROPER(TRIM(CLEAN(Raw_Data!I83)))="Silver",PROPER(TRIM(CLEAN(Raw_Data!I83)))="Gold"),PROPER(TRIM(CLEAN(Raw_Data!I83))),"Unknown")</f>
        <v>Bronze</v>
      </c>
      <c r="K83" s="11">
        <f>IF(ISNUMBER(Raw_Data!J83),Raw_Data!J83,IFERROR(DATEVALUE(Raw_Data!J83),""))</f>
        <v>44304</v>
      </c>
      <c r="L83" s="8" t="str">
        <f t="shared" si="12"/>
        <v>hotmail.com</v>
      </c>
      <c r="M83" s="8" t="str">
        <f t="shared" si="13"/>
        <v>CUS</v>
      </c>
      <c r="N83" s="8" t="str">
        <f t="shared" si="14"/>
        <v>01476</v>
      </c>
      <c r="O83" s="8" t="str">
        <f t="shared" si="15"/>
        <v>8112</v>
      </c>
      <c r="P83" s="8" t="str">
        <f t="shared" si="16"/>
        <v>Amr Ali - Bronze</v>
      </c>
      <c r="Q83" s="12" t="str">
        <f>IF(B83="","Remove - missing ID",IF(OR(E83="",K83=""),"Remove - invalid date",IF(COUNTIF($B$2:B83,B83)&gt;1,"Remove - duplicate ID","Keep")))</f>
        <v>Remove - invalid date</v>
      </c>
      <c r="R83" s="8" t="str">
        <f t="shared" si="17"/>
        <v>No</v>
      </c>
    </row>
    <row r="84" spans="1:18" x14ac:dyDescent="0.25">
      <c r="A84" s="8">
        <f>ROW(Raw_Data!A84)</f>
        <v>84</v>
      </c>
      <c r="B84" s="8" t="str">
        <f>TRIM(CLEAN(Raw_Data!A84))</f>
        <v>CUS01892</v>
      </c>
      <c r="C84" s="8" t="str">
        <f>IF(TRIM(CLEAN(Raw_Data!B84))="","Not Provided",PROPER(TRIM(CLEAN(Raw_Data!B84))))</f>
        <v>Reem Ibrahim</v>
      </c>
      <c r="D84" s="8" t="str">
        <f>IF(OR(PROPER(TRIM(CLEAN(Raw_Data!C84)))="Male",PROPER(TRIM(CLEAN(Raw_Data!C84)))="Female"),PROPER(TRIM(CLEAN(Raw_Data!C84))),"Unknown")</f>
        <v>Female</v>
      </c>
      <c r="E84" s="11">
        <f>IF(ISNUMBER(Raw_Data!D84),Raw_Data!D84,IFERROR(DATEVALUE(Raw_Data!D84),""))</f>
        <v>35081</v>
      </c>
      <c r="F84" s="8" t="str">
        <f>IF(TRIM(CLEAN(Raw_Data!E84))="","Not Provided",TRIM(CLEAN(Raw_Data!E84)))</f>
        <v>1279478250</v>
      </c>
      <c r="G84" s="8" t="str">
        <f>IF(TRIM(CLEAN(Raw_Data!F84))="","Not Provided",LOWER(TRIM(CLEAN(Raw_Data!F84))))</f>
        <v>Not Provided</v>
      </c>
      <c r="H84" s="8" t="str">
        <f>IF(TRIM(CLEAN(Raw_Data!G84))="","Not Provided",PROPER(TRIM(CLEAN(Raw_Data!G84))))</f>
        <v>Giza</v>
      </c>
      <c r="I84" s="8" t="str">
        <f>IF(TRIM(CLEAN(Raw_Data!H84))="","Not Provided",PROPER(TRIM(CLEAN(Raw_Data!H84))))</f>
        <v>Greater Cairo</v>
      </c>
      <c r="J84" s="8" t="str">
        <f>IF(OR(PROPER(TRIM(CLEAN(Raw_Data!I84)))="Bronze",PROPER(TRIM(CLEAN(Raw_Data!I84)))="Silver",PROPER(TRIM(CLEAN(Raw_Data!I84)))="Gold"),PROPER(TRIM(CLEAN(Raw_Data!I84))),"Unknown")</f>
        <v>Bronze</v>
      </c>
      <c r="K84" s="11">
        <f>IF(ISNUMBER(Raw_Data!J84),Raw_Data!J84,IFERROR(DATEVALUE(Raw_Data!J84),""))</f>
        <v>43842</v>
      </c>
      <c r="L84" s="8" t="str">
        <f t="shared" si="12"/>
        <v/>
      </c>
      <c r="M84" s="8" t="str">
        <f t="shared" si="13"/>
        <v>CUS</v>
      </c>
      <c r="N84" s="8" t="str">
        <f t="shared" si="14"/>
        <v>01892</v>
      </c>
      <c r="O84" s="8" t="str">
        <f t="shared" si="15"/>
        <v>8250</v>
      </c>
      <c r="P84" s="8" t="str">
        <f t="shared" si="16"/>
        <v>Reem Ibrahim - Bronze</v>
      </c>
      <c r="Q84" s="12" t="str">
        <f>IF(B84="","Remove - missing ID",IF(OR(E84="",K84=""),"Remove - invalid date",IF(COUNTIF($B$2:B84,B84)&gt;1,"Remove - duplicate ID","Keep")))</f>
        <v>Keep</v>
      </c>
      <c r="R84" s="8" t="str">
        <f t="shared" si="17"/>
        <v>Yes</v>
      </c>
    </row>
    <row r="85" spans="1:18" x14ac:dyDescent="0.25">
      <c r="A85" s="8">
        <f>ROW(Raw_Data!A85)</f>
        <v>85</v>
      </c>
      <c r="B85" s="8" t="str">
        <f>TRIM(CLEAN(Raw_Data!A85))</f>
        <v>CUS01428</v>
      </c>
      <c r="C85" s="8" t="str">
        <f>IF(TRIM(CLEAN(Raw_Data!B85))="","Not Provided",PROPER(TRIM(CLEAN(Raw_Data!B85))))</f>
        <v>Maged Ismail</v>
      </c>
      <c r="D85" s="8" t="str">
        <f>IF(OR(PROPER(TRIM(CLEAN(Raw_Data!C85)))="Male",PROPER(TRIM(CLEAN(Raw_Data!C85)))="Female"),PROPER(TRIM(CLEAN(Raw_Data!C85))),"Unknown")</f>
        <v>Male</v>
      </c>
      <c r="E85" s="11">
        <f>IF(ISNUMBER(Raw_Data!D85),Raw_Data!D85,IFERROR(DATEVALUE(Raw_Data!D85),""))</f>
        <v>31861</v>
      </c>
      <c r="F85" s="8" t="str">
        <f>IF(TRIM(CLEAN(Raw_Data!E85))="","Not Provided",TRIM(CLEAN(Raw_Data!E85)))</f>
        <v>1236326944</v>
      </c>
      <c r="G85" s="8" t="str">
        <f>IF(TRIM(CLEAN(Raw_Data!F85))="","Not Provided",LOWER(TRIM(CLEAN(Raw_Data!F85))))</f>
        <v>maged.ismail63@yahoo.com</v>
      </c>
      <c r="H85" s="8" t="str">
        <f>IF(TRIM(CLEAN(Raw_Data!G85))="","Not Provided",PROPER(TRIM(CLEAN(Raw_Data!G85))))</f>
        <v>Port Said</v>
      </c>
      <c r="I85" s="8" t="str">
        <f>IF(TRIM(CLEAN(Raw_Data!H85))="","Not Provided",PROPER(TRIM(CLEAN(Raw_Data!H85))))</f>
        <v>Canal Zone</v>
      </c>
      <c r="J85" s="8" t="str">
        <f>IF(OR(PROPER(TRIM(CLEAN(Raw_Data!I85)))="Bronze",PROPER(TRIM(CLEAN(Raw_Data!I85)))="Silver",PROPER(TRIM(CLEAN(Raw_Data!I85)))="Gold"),PROPER(TRIM(CLEAN(Raw_Data!I85))),"Unknown")</f>
        <v>Silver</v>
      </c>
      <c r="K85" s="11">
        <f>IF(ISNUMBER(Raw_Data!J85),Raw_Data!J85,IFERROR(DATEVALUE(Raw_Data!J85),""))</f>
        <v>44702</v>
      </c>
      <c r="L85" s="8" t="str">
        <f t="shared" si="12"/>
        <v>yahoo.com</v>
      </c>
      <c r="M85" s="8" t="str">
        <f t="shared" si="13"/>
        <v>CUS</v>
      </c>
      <c r="N85" s="8" t="str">
        <f t="shared" si="14"/>
        <v>01428</v>
      </c>
      <c r="O85" s="8" t="str">
        <f t="shared" si="15"/>
        <v>6944</v>
      </c>
      <c r="P85" s="8" t="str">
        <f t="shared" si="16"/>
        <v>Maged Ismail - Silver</v>
      </c>
      <c r="Q85" s="12" t="str">
        <f>IF(B85="","Remove - missing ID",IF(OR(E85="",K85=""),"Remove - invalid date",IF(COUNTIF($B$2:B85,B85)&gt;1,"Remove - duplicate ID","Keep")))</f>
        <v>Keep</v>
      </c>
      <c r="R85" s="8" t="str">
        <f t="shared" si="17"/>
        <v>Yes</v>
      </c>
    </row>
    <row r="86" spans="1:18" x14ac:dyDescent="0.25">
      <c r="A86" s="8">
        <f>ROW(Raw_Data!A86)</f>
        <v>86</v>
      </c>
      <c r="B86" s="8" t="str">
        <f>TRIM(CLEAN(Raw_Data!A86))</f>
        <v>CUS02586</v>
      </c>
      <c r="C86" s="8" t="str">
        <f>IF(TRIM(CLEAN(Raw_Data!B86))="","Not Provided",PROPER(TRIM(CLEAN(Raw_Data!B86))))</f>
        <v>Mohamed Farouk</v>
      </c>
      <c r="D86" s="8" t="str">
        <f>IF(OR(PROPER(TRIM(CLEAN(Raw_Data!C86)))="Male",PROPER(TRIM(CLEAN(Raw_Data!C86)))="Female"),PROPER(TRIM(CLEAN(Raw_Data!C86))),"Unknown")</f>
        <v>Male</v>
      </c>
      <c r="E86" s="11">
        <f>IF(ISNUMBER(Raw_Data!D86),Raw_Data!D86,IFERROR(DATEVALUE(Raw_Data!D86),""))</f>
        <v>33071</v>
      </c>
      <c r="F86" s="8" t="str">
        <f>IF(TRIM(CLEAN(Raw_Data!E86))="","Not Provided",TRIM(CLEAN(Raw_Data!E86)))</f>
        <v>1291780371</v>
      </c>
      <c r="G86" s="8" t="str">
        <f>IF(TRIM(CLEAN(Raw_Data!F86))="","Not Provided",LOWER(TRIM(CLEAN(Raw_Data!F86))))</f>
        <v>mohamed.farouk48@outlook.com</v>
      </c>
      <c r="H86" s="8" t="str">
        <f>IF(TRIM(CLEAN(Raw_Data!G86))="","Not Provided",PROPER(TRIM(CLEAN(Raw_Data!G86))))</f>
        <v>Mansoura</v>
      </c>
      <c r="I86" s="8" t="str">
        <f>IF(TRIM(CLEAN(Raw_Data!H86))="","Not Provided",PROPER(TRIM(CLEAN(Raw_Data!H86))))</f>
        <v>Nile Delta</v>
      </c>
      <c r="J86" s="8" t="str">
        <f>IF(OR(PROPER(TRIM(CLEAN(Raw_Data!I86)))="Bronze",PROPER(TRIM(CLEAN(Raw_Data!I86)))="Silver",PROPER(TRIM(CLEAN(Raw_Data!I86)))="Gold"),PROPER(TRIM(CLEAN(Raw_Data!I86))),"Unknown")</f>
        <v>Gold</v>
      </c>
      <c r="K86" s="11">
        <f>IF(ISNUMBER(Raw_Data!J86),Raw_Data!J86,IFERROR(DATEVALUE(Raw_Data!J86),""))</f>
        <v>45139</v>
      </c>
      <c r="L86" s="8" t="str">
        <f t="shared" si="12"/>
        <v>outlook.com</v>
      </c>
      <c r="M86" s="8" t="str">
        <f t="shared" si="13"/>
        <v>CUS</v>
      </c>
      <c r="N86" s="8" t="str">
        <f t="shared" si="14"/>
        <v>02586</v>
      </c>
      <c r="O86" s="8" t="str">
        <f t="shared" si="15"/>
        <v>0371</v>
      </c>
      <c r="P86" s="8" t="str">
        <f t="shared" si="16"/>
        <v>Mohamed Farouk - Gold</v>
      </c>
      <c r="Q86" s="12" t="str">
        <f>IF(B86="","Remove - missing ID",IF(OR(E86="",K86=""),"Remove - invalid date",IF(COUNTIF($B$2:B86,B86)&gt;1,"Remove - duplicate ID","Keep")))</f>
        <v>Keep</v>
      </c>
      <c r="R86" s="8" t="str">
        <f t="shared" si="17"/>
        <v>Yes</v>
      </c>
    </row>
    <row r="87" spans="1:18" x14ac:dyDescent="0.25">
      <c r="A87" s="8">
        <f>ROW(Raw_Data!A87)</f>
        <v>87</v>
      </c>
      <c r="B87" s="8" t="str">
        <f>TRIM(CLEAN(Raw_Data!A87))</f>
        <v>CUS00135</v>
      </c>
      <c r="C87" s="8" t="str">
        <f>IF(TRIM(CLEAN(Raw_Data!B87))="","Not Provided",PROPER(TRIM(CLEAN(Raw_Data!B87))))</f>
        <v>Adel Hamdy</v>
      </c>
      <c r="D87" s="8" t="str">
        <f>IF(OR(PROPER(TRIM(CLEAN(Raw_Data!C87)))="Male",PROPER(TRIM(CLEAN(Raw_Data!C87)))="Female"),PROPER(TRIM(CLEAN(Raw_Data!C87))),"Unknown")</f>
        <v>Male</v>
      </c>
      <c r="E87" s="11">
        <f>IF(ISNUMBER(Raw_Data!D87),Raw_Data!D87,IFERROR(DATEVALUE(Raw_Data!D87),""))</f>
        <v>35190</v>
      </c>
      <c r="F87" s="8" t="str">
        <f>IF(TRIM(CLEAN(Raw_Data!E87))="","Not Provided",TRIM(CLEAN(Raw_Data!E87)))</f>
        <v>1111416778</v>
      </c>
      <c r="G87" s="8" t="str">
        <f>IF(TRIM(CLEAN(Raw_Data!F87))="","Not Provided",LOWER(TRIM(CLEAN(Raw_Data!F87))))</f>
        <v>adel.hamdy61@gmail.com</v>
      </c>
      <c r="H87" s="8" t="str">
        <f>IF(TRIM(CLEAN(Raw_Data!G87))="","Not Provided",PROPER(TRIM(CLEAN(Raw_Data!G87))))</f>
        <v>Port Said</v>
      </c>
      <c r="I87" s="8" t="str">
        <f>IF(TRIM(CLEAN(Raw_Data!H87))="","Not Provided",PROPER(TRIM(CLEAN(Raw_Data!H87))))</f>
        <v>Canal Zone</v>
      </c>
      <c r="J87" s="8" t="str">
        <f>IF(OR(PROPER(TRIM(CLEAN(Raw_Data!I87)))="Bronze",PROPER(TRIM(CLEAN(Raw_Data!I87)))="Silver",PROPER(TRIM(CLEAN(Raw_Data!I87)))="Gold"),PROPER(TRIM(CLEAN(Raw_Data!I87))),"Unknown")</f>
        <v>Bronze</v>
      </c>
      <c r="K87" s="11">
        <f>IF(ISNUMBER(Raw_Data!J87),Raw_Data!J87,IFERROR(DATEVALUE(Raw_Data!J87),""))</f>
        <v>45148</v>
      </c>
      <c r="L87" s="8" t="str">
        <f t="shared" si="12"/>
        <v>gmail.com</v>
      </c>
      <c r="M87" s="8" t="str">
        <f t="shared" si="13"/>
        <v>CUS</v>
      </c>
      <c r="N87" s="8" t="str">
        <f t="shared" si="14"/>
        <v>00135</v>
      </c>
      <c r="O87" s="8" t="str">
        <f t="shared" si="15"/>
        <v>6778</v>
      </c>
      <c r="P87" s="8" t="str">
        <f t="shared" si="16"/>
        <v>Adel Hamdy - Bronze</v>
      </c>
      <c r="Q87" s="12" t="str">
        <f>IF(B87="","Remove - missing ID",IF(OR(E87="",K87=""),"Remove - invalid date",IF(COUNTIF($B$2:B87,B87)&gt;1,"Remove - duplicate ID","Keep")))</f>
        <v>Keep</v>
      </c>
      <c r="R87" s="8" t="str">
        <f t="shared" si="17"/>
        <v>Yes</v>
      </c>
    </row>
    <row r="88" spans="1:18" x14ac:dyDescent="0.25">
      <c r="A88" s="8">
        <f>ROW(Raw_Data!A88)</f>
        <v>88</v>
      </c>
      <c r="B88" s="8" t="str">
        <f>TRIM(CLEAN(Raw_Data!A88))</f>
        <v>CUS00742</v>
      </c>
      <c r="C88" s="8" t="str">
        <f>IF(TRIM(CLEAN(Raw_Data!B88))="","Not Provided",PROPER(TRIM(CLEAN(Raw_Data!B88))))</f>
        <v>Bassem Lotfy</v>
      </c>
      <c r="D88" s="8" t="str">
        <f>IF(OR(PROPER(TRIM(CLEAN(Raw_Data!C88)))="Male",PROPER(TRIM(CLEAN(Raw_Data!C88)))="Female"),PROPER(TRIM(CLEAN(Raw_Data!C88))),"Unknown")</f>
        <v>Male</v>
      </c>
      <c r="E88" s="11">
        <f>IF(ISNUMBER(Raw_Data!D88),Raw_Data!D88,IFERROR(DATEVALUE(Raw_Data!D88),""))</f>
        <v>26201</v>
      </c>
      <c r="F88" s="8" t="str">
        <f>IF(TRIM(CLEAN(Raw_Data!E88))="","Not Provided",TRIM(CLEAN(Raw_Data!E88)))</f>
        <v>1137531916</v>
      </c>
      <c r="G88" s="8" t="str">
        <f>IF(TRIM(CLEAN(Raw_Data!F88))="","Not Provided",LOWER(TRIM(CLEAN(Raw_Data!F88))))</f>
        <v>bassem.lotfy42@gmail.com</v>
      </c>
      <c r="H88" s="8" t="str">
        <f>IF(TRIM(CLEAN(Raw_Data!G88))="","Not Provided",PROPER(TRIM(CLEAN(Raw_Data!G88))))</f>
        <v>Giza</v>
      </c>
      <c r="I88" s="8" t="str">
        <f>IF(TRIM(CLEAN(Raw_Data!H88))="","Not Provided",PROPER(TRIM(CLEAN(Raw_Data!H88))))</f>
        <v>Greater Cairo</v>
      </c>
      <c r="J88" s="8" t="str">
        <f>IF(OR(PROPER(TRIM(CLEAN(Raw_Data!I88)))="Bronze",PROPER(TRIM(CLEAN(Raw_Data!I88)))="Silver",PROPER(TRIM(CLEAN(Raw_Data!I88)))="Gold"),PROPER(TRIM(CLEAN(Raw_Data!I88))),"Unknown")</f>
        <v>Bronze</v>
      </c>
      <c r="K88" s="11">
        <f>IF(ISNUMBER(Raw_Data!J88),Raw_Data!J88,IFERROR(DATEVALUE(Raw_Data!J88),""))</f>
        <v>45189</v>
      </c>
      <c r="L88" s="8" t="str">
        <f t="shared" si="12"/>
        <v>gmail.com</v>
      </c>
      <c r="M88" s="8" t="str">
        <f t="shared" si="13"/>
        <v>CUS</v>
      </c>
      <c r="N88" s="8" t="str">
        <f t="shared" si="14"/>
        <v>00742</v>
      </c>
      <c r="O88" s="8" t="str">
        <f t="shared" si="15"/>
        <v>1916</v>
      </c>
      <c r="P88" s="8" t="str">
        <f t="shared" si="16"/>
        <v>Bassem Lotfy - Bronze</v>
      </c>
      <c r="Q88" s="12" t="str">
        <f>IF(B88="","Remove - missing ID",IF(OR(E88="",K88=""),"Remove - invalid date",IF(COUNTIF($B$2:B88,B88)&gt;1,"Remove - duplicate ID","Keep")))</f>
        <v>Keep</v>
      </c>
      <c r="R88" s="8" t="str">
        <f t="shared" si="17"/>
        <v>Yes</v>
      </c>
    </row>
    <row r="89" spans="1:18" x14ac:dyDescent="0.25">
      <c r="A89" s="8">
        <f>ROW(Raw_Data!A89)</f>
        <v>89</v>
      </c>
      <c r="B89" s="8" t="str">
        <f>TRIM(CLEAN(Raw_Data!A89))</f>
        <v>CUS00965</v>
      </c>
      <c r="C89" s="8" t="str">
        <f>IF(TRIM(CLEAN(Raw_Data!B89))="","Not Provided",PROPER(TRIM(CLEAN(Raw_Data!B89))))</f>
        <v>Magdy Younis</v>
      </c>
      <c r="D89" s="8" t="str">
        <f>IF(OR(PROPER(TRIM(CLEAN(Raw_Data!C89)))="Male",PROPER(TRIM(CLEAN(Raw_Data!C89)))="Female"),PROPER(TRIM(CLEAN(Raw_Data!C89))),"Unknown")</f>
        <v>Male</v>
      </c>
      <c r="E89" s="11">
        <f>IF(ISNUMBER(Raw_Data!D89),Raw_Data!D89,IFERROR(DATEVALUE(Raw_Data!D89),""))</f>
        <v>26515</v>
      </c>
      <c r="F89" s="8" t="str">
        <f>IF(TRIM(CLEAN(Raw_Data!E89))="","Not Provided",TRIM(CLEAN(Raw_Data!E89)))</f>
        <v>1135670862</v>
      </c>
      <c r="G89" s="8" t="str">
        <f>IF(TRIM(CLEAN(Raw_Data!F89))="","Not Provided",LOWER(TRIM(CLEAN(Raw_Data!F89))))</f>
        <v>magdy.younis91@hotmail.com</v>
      </c>
      <c r="H89" s="8" t="str">
        <f>IF(TRIM(CLEAN(Raw_Data!G89))="","Not Provided",PROPER(TRIM(CLEAN(Raw_Data!G89))))</f>
        <v>Giza</v>
      </c>
      <c r="I89" s="8" t="str">
        <f>IF(TRIM(CLEAN(Raw_Data!H89))="","Not Provided",PROPER(TRIM(CLEAN(Raw_Data!H89))))</f>
        <v>Greater Cairo</v>
      </c>
      <c r="J89" s="8" t="str">
        <f>IF(OR(PROPER(TRIM(CLEAN(Raw_Data!I89)))="Bronze",PROPER(TRIM(CLEAN(Raw_Data!I89)))="Silver",PROPER(TRIM(CLEAN(Raw_Data!I89)))="Gold"),PROPER(TRIM(CLEAN(Raw_Data!I89))),"Unknown")</f>
        <v>Silver</v>
      </c>
      <c r="K89" s="11">
        <f>IF(ISNUMBER(Raw_Data!J89),Raw_Data!J89,IFERROR(DATEVALUE(Raw_Data!J89),""))</f>
        <v>43943</v>
      </c>
      <c r="L89" s="8" t="str">
        <f t="shared" si="12"/>
        <v>hotmail.com</v>
      </c>
      <c r="M89" s="8" t="str">
        <f t="shared" si="13"/>
        <v>CUS</v>
      </c>
      <c r="N89" s="8" t="str">
        <f t="shared" si="14"/>
        <v>00965</v>
      </c>
      <c r="O89" s="8" t="str">
        <f t="shared" si="15"/>
        <v>0862</v>
      </c>
      <c r="P89" s="8" t="str">
        <f t="shared" si="16"/>
        <v>Magdy Younis - Silver</v>
      </c>
      <c r="Q89" s="12" t="str">
        <f>IF(B89="","Remove - missing ID",IF(OR(E89="",K89=""),"Remove - invalid date",IF(COUNTIF($B$2:B89,B89)&gt;1,"Remove - duplicate ID","Keep")))</f>
        <v>Keep</v>
      </c>
      <c r="R89" s="8" t="str">
        <f t="shared" si="17"/>
        <v>Yes</v>
      </c>
    </row>
    <row r="90" spans="1:18" x14ac:dyDescent="0.25">
      <c r="A90" s="8">
        <f>ROW(Raw_Data!A90)</f>
        <v>90</v>
      </c>
      <c r="B90" s="8" t="str">
        <f>TRIM(CLEAN(Raw_Data!A90))</f>
        <v>CUS00150</v>
      </c>
      <c r="C90" s="8" t="str">
        <f>IF(TRIM(CLEAN(Raw_Data!B90))="","Not Provided",PROPER(TRIM(CLEAN(Raw_Data!B90))))</f>
        <v>Hussein Khalil</v>
      </c>
      <c r="D90" s="8" t="str">
        <f>IF(OR(PROPER(TRIM(CLEAN(Raw_Data!C90)))="Male",PROPER(TRIM(CLEAN(Raw_Data!C90)))="Female"),PROPER(TRIM(CLEAN(Raw_Data!C90))),"Unknown")</f>
        <v>Male</v>
      </c>
      <c r="E90" s="11">
        <f>IF(ISNUMBER(Raw_Data!D90),Raw_Data!D90,IFERROR(DATEVALUE(Raw_Data!D90),""))</f>
        <v>29842</v>
      </c>
      <c r="F90" s="8" t="str">
        <f>IF(TRIM(CLEAN(Raw_Data!E90))="","Not Provided",TRIM(CLEAN(Raw_Data!E90)))</f>
        <v>1255300210</v>
      </c>
      <c r="G90" s="8" t="str">
        <f>IF(TRIM(CLEAN(Raw_Data!F90))="","Not Provided",LOWER(TRIM(CLEAN(Raw_Data!F90))))</f>
        <v>hussein.khalil41@hotmail.com</v>
      </c>
      <c r="H90" s="8" t="str">
        <f>IF(TRIM(CLEAN(Raw_Data!G90))="","Not Provided",PROPER(TRIM(CLEAN(Raw_Data!G90))))</f>
        <v>Cairo</v>
      </c>
      <c r="I90" s="8" t="str">
        <f>IF(TRIM(CLEAN(Raw_Data!H90))="","Not Provided",PROPER(TRIM(CLEAN(Raw_Data!H90))))</f>
        <v>Greater Cairo</v>
      </c>
      <c r="J90" s="8" t="str">
        <f>IF(OR(PROPER(TRIM(CLEAN(Raw_Data!I90)))="Bronze",PROPER(TRIM(CLEAN(Raw_Data!I90)))="Silver",PROPER(TRIM(CLEAN(Raw_Data!I90)))="Gold"),PROPER(TRIM(CLEAN(Raw_Data!I90))),"Unknown")</f>
        <v>Silver</v>
      </c>
      <c r="K90" s="11">
        <f>IF(ISNUMBER(Raw_Data!J90),Raw_Data!J90,IFERROR(DATEVALUE(Raw_Data!J90),""))</f>
        <v>44767</v>
      </c>
      <c r="L90" s="8" t="str">
        <f t="shared" si="12"/>
        <v>hotmail.com</v>
      </c>
      <c r="M90" s="8" t="str">
        <f t="shared" si="13"/>
        <v>CUS</v>
      </c>
      <c r="N90" s="8" t="str">
        <f t="shared" si="14"/>
        <v>00150</v>
      </c>
      <c r="O90" s="8" t="str">
        <f t="shared" si="15"/>
        <v>0210</v>
      </c>
      <c r="P90" s="8" t="str">
        <f t="shared" si="16"/>
        <v>Hussein Khalil - Silver</v>
      </c>
      <c r="Q90" s="12" t="str">
        <f>IF(B90="","Remove - missing ID",IF(OR(E90="",K90=""),"Remove - invalid date",IF(COUNTIF($B$2:B90,B90)&gt;1,"Remove - duplicate ID","Keep")))</f>
        <v>Keep</v>
      </c>
      <c r="R90" s="8" t="str">
        <f t="shared" si="17"/>
        <v>Yes</v>
      </c>
    </row>
    <row r="91" spans="1:18" x14ac:dyDescent="0.25">
      <c r="A91" s="8">
        <f>ROW(Raw_Data!A91)</f>
        <v>91</v>
      </c>
      <c r="B91" s="8" t="str">
        <f>TRIM(CLEAN(Raw_Data!A91))</f>
        <v>CUS00241</v>
      </c>
      <c r="C91" s="8" t="str">
        <f>IF(TRIM(CLEAN(Raw_Data!B91))="","Not Provided",PROPER(TRIM(CLEAN(Raw_Data!B91))))</f>
        <v>Radwa Ragab</v>
      </c>
      <c r="D91" s="8" t="str">
        <f>IF(OR(PROPER(TRIM(CLEAN(Raw_Data!C91)))="Male",PROPER(TRIM(CLEAN(Raw_Data!C91)))="Female"),PROPER(TRIM(CLEAN(Raw_Data!C91))),"Unknown")</f>
        <v>Female</v>
      </c>
      <c r="E91" s="11" t="str">
        <f>IF(ISNUMBER(Raw_Data!D91),Raw_Data!D91,IFERROR(DATEVALUE(Raw_Data!D91),""))</f>
        <v/>
      </c>
      <c r="F91" s="8" t="str">
        <f>IF(TRIM(CLEAN(Raw_Data!E91))="","Not Provided",TRIM(CLEAN(Raw_Data!E91)))</f>
        <v>1029278938</v>
      </c>
      <c r="G91" s="8" t="str">
        <f>IF(TRIM(CLEAN(Raw_Data!F91))="","Not Provided",LOWER(TRIM(CLEAN(Raw_Data!F91))))</f>
        <v>radwa.ragab9@outlook.com</v>
      </c>
      <c r="H91" s="8" t="str">
        <f>IF(TRIM(CLEAN(Raw_Data!G91))="","Not Provided",PROPER(TRIM(CLEAN(Raw_Data!G91))))</f>
        <v>Port Said</v>
      </c>
      <c r="I91" s="8" t="str">
        <f>IF(TRIM(CLEAN(Raw_Data!H91))="","Not Provided",PROPER(TRIM(CLEAN(Raw_Data!H91))))</f>
        <v>Canal Zone</v>
      </c>
      <c r="J91" s="8" t="str">
        <f>IF(OR(PROPER(TRIM(CLEAN(Raw_Data!I91)))="Bronze",PROPER(TRIM(CLEAN(Raw_Data!I91)))="Silver",PROPER(TRIM(CLEAN(Raw_Data!I91)))="Gold"),PROPER(TRIM(CLEAN(Raw_Data!I91))),"Unknown")</f>
        <v>Silver</v>
      </c>
      <c r="K91" s="11">
        <f>IF(ISNUMBER(Raw_Data!J91),Raw_Data!J91,IFERROR(DATEVALUE(Raw_Data!J91),""))</f>
        <v>43844</v>
      </c>
      <c r="L91" s="8" t="str">
        <f t="shared" si="12"/>
        <v>outlook.com</v>
      </c>
      <c r="M91" s="8" t="str">
        <f t="shared" si="13"/>
        <v>CUS</v>
      </c>
      <c r="N91" s="8" t="str">
        <f t="shared" si="14"/>
        <v>00241</v>
      </c>
      <c r="O91" s="8" t="str">
        <f t="shared" si="15"/>
        <v>8938</v>
      </c>
      <c r="P91" s="8" t="str">
        <f t="shared" si="16"/>
        <v>Radwa Ragab - Silver</v>
      </c>
      <c r="Q91" s="12" t="str">
        <f>IF(B91="","Remove - missing ID",IF(OR(E91="",K91=""),"Remove - invalid date",IF(COUNTIF($B$2:B91,B91)&gt;1,"Remove - duplicate ID","Keep")))</f>
        <v>Remove - invalid date</v>
      </c>
      <c r="R91" s="8" t="str">
        <f t="shared" si="17"/>
        <v>No</v>
      </c>
    </row>
    <row r="92" spans="1:18" x14ac:dyDescent="0.25">
      <c r="A92" s="8">
        <f>ROW(Raw_Data!A92)</f>
        <v>92</v>
      </c>
      <c r="B92" s="8" t="str">
        <f>TRIM(CLEAN(Raw_Data!A92))</f>
        <v>CUS01767</v>
      </c>
      <c r="C92" s="8" t="str">
        <f>IF(TRIM(CLEAN(Raw_Data!B92))="","Not Provided",PROPER(TRIM(CLEAN(Raw_Data!B92))))</f>
        <v>Aisha Ismail</v>
      </c>
      <c r="D92" s="8" t="str">
        <f>IF(OR(PROPER(TRIM(CLEAN(Raw_Data!C92)))="Male",PROPER(TRIM(CLEAN(Raw_Data!C92)))="Female"),PROPER(TRIM(CLEAN(Raw_Data!C92))),"Unknown")</f>
        <v>Female</v>
      </c>
      <c r="E92" s="11" t="str">
        <f>IF(ISNUMBER(Raw_Data!D92),Raw_Data!D92,IFERROR(DATEVALUE(Raw_Data!D92),""))</f>
        <v/>
      </c>
      <c r="F92" s="8" t="str">
        <f>IF(TRIM(CLEAN(Raw_Data!E92))="","Not Provided",TRIM(CLEAN(Raw_Data!E92)))</f>
        <v>1291142579</v>
      </c>
      <c r="G92" s="8" t="str">
        <f>IF(TRIM(CLEAN(Raw_Data!F92))="","Not Provided",LOWER(TRIM(CLEAN(Raw_Data!F92))))</f>
        <v>aisha.ismail70@gmail.com</v>
      </c>
      <c r="H92" s="8" t="str">
        <f>IF(TRIM(CLEAN(Raw_Data!G92))="","Not Provided",PROPER(TRIM(CLEAN(Raw_Data!G92))))</f>
        <v>Zagazig</v>
      </c>
      <c r="I92" s="8" t="str">
        <f>IF(TRIM(CLEAN(Raw_Data!H92))="","Not Provided",PROPER(TRIM(CLEAN(Raw_Data!H92))))</f>
        <v>Nile Delta</v>
      </c>
      <c r="J92" s="8" t="str">
        <f>IF(OR(PROPER(TRIM(CLEAN(Raw_Data!I92)))="Bronze",PROPER(TRIM(CLEAN(Raw_Data!I92)))="Silver",PROPER(TRIM(CLEAN(Raw_Data!I92)))="Gold"),PROPER(TRIM(CLEAN(Raw_Data!I92))),"Unknown")</f>
        <v>Gold</v>
      </c>
      <c r="K92" s="11">
        <f>IF(ISNUMBER(Raw_Data!J92),Raw_Data!J92,IFERROR(DATEVALUE(Raw_Data!J92),""))</f>
        <v>43935</v>
      </c>
      <c r="L92" s="8" t="str">
        <f t="shared" si="12"/>
        <v>gmail.com</v>
      </c>
      <c r="M92" s="8" t="str">
        <f t="shared" si="13"/>
        <v>CUS</v>
      </c>
      <c r="N92" s="8" t="str">
        <f t="shared" si="14"/>
        <v>01767</v>
      </c>
      <c r="O92" s="8" t="str">
        <f t="shared" si="15"/>
        <v>2579</v>
      </c>
      <c r="P92" s="8" t="str">
        <f t="shared" si="16"/>
        <v>Aisha Ismail - Gold</v>
      </c>
      <c r="Q92" s="12" t="str">
        <f>IF(B92="","Remove - missing ID",IF(OR(E92="",K92=""),"Remove - invalid date",IF(COUNTIF($B$2:B92,B92)&gt;1,"Remove - duplicate ID","Keep")))</f>
        <v>Remove - invalid date</v>
      </c>
      <c r="R92" s="8" t="str">
        <f t="shared" si="17"/>
        <v>No</v>
      </c>
    </row>
    <row r="93" spans="1:18" x14ac:dyDescent="0.25">
      <c r="A93" s="8">
        <f>ROW(Raw_Data!A93)</f>
        <v>93</v>
      </c>
      <c r="B93" s="8" t="str">
        <f>TRIM(CLEAN(Raw_Data!A93))</f>
        <v>CUS01897</v>
      </c>
      <c r="C93" s="8" t="str">
        <f>IF(TRIM(CLEAN(Raw_Data!B93))="","Not Provided",PROPER(TRIM(CLEAN(Raw_Data!B93))))</f>
        <v>Fady Barakat</v>
      </c>
      <c r="D93" s="8" t="str">
        <f>IF(OR(PROPER(TRIM(CLEAN(Raw_Data!C93)))="Male",PROPER(TRIM(CLEAN(Raw_Data!C93)))="Female"),PROPER(TRIM(CLEAN(Raw_Data!C93))),"Unknown")</f>
        <v>Male</v>
      </c>
      <c r="E93" s="11">
        <f>IF(ISNUMBER(Raw_Data!D93),Raw_Data!D93,IFERROR(DATEVALUE(Raw_Data!D93),""))</f>
        <v>27721</v>
      </c>
      <c r="F93" s="8" t="str">
        <f>IF(TRIM(CLEAN(Raw_Data!E93))="","Not Provided",TRIM(CLEAN(Raw_Data!E93)))</f>
        <v>1273669065</v>
      </c>
      <c r="G93" s="8" t="str">
        <f>IF(TRIM(CLEAN(Raw_Data!F93))="","Not Provided",LOWER(TRIM(CLEAN(Raw_Data!F93))))</f>
        <v>fady.barakat40@outlook.com</v>
      </c>
      <c r="H93" s="8" t="str">
        <f>IF(TRIM(CLEAN(Raw_Data!G93))="","Not Provided",PROPER(TRIM(CLEAN(Raw_Data!G93))))</f>
        <v>Mansoura</v>
      </c>
      <c r="I93" s="8" t="str">
        <f>IF(TRIM(CLEAN(Raw_Data!H93))="","Not Provided",PROPER(TRIM(CLEAN(Raw_Data!H93))))</f>
        <v>Nile Delta</v>
      </c>
      <c r="J93" s="8" t="str">
        <f>IF(OR(PROPER(TRIM(CLEAN(Raw_Data!I93)))="Bronze",PROPER(TRIM(CLEAN(Raw_Data!I93)))="Silver",PROPER(TRIM(CLEAN(Raw_Data!I93)))="Gold"),PROPER(TRIM(CLEAN(Raw_Data!I93))),"Unknown")</f>
        <v>Bronze</v>
      </c>
      <c r="K93" s="11">
        <f>IF(ISNUMBER(Raw_Data!J93),Raw_Data!J93,IFERROR(DATEVALUE(Raw_Data!J93),""))</f>
        <v>45233</v>
      </c>
      <c r="L93" s="8" t="str">
        <f t="shared" si="12"/>
        <v>outlook.com</v>
      </c>
      <c r="M93" s="8" t="str">
        <f t="shared" si="13"/>
        <v>CUS</v>
      </c>
      <c r="N93" s="8" t="str">
        <f t="shared" si="14"/>
        <v>01897</v>
      </c>
      <c r="O93" s="8" t="str">
        <f t="shared" si="15"/>
        <v>9065</v>
      </c>
      <c r="P93" s="8" t="str">
        <f t="shared" si="16"/>
        <v>Fady Barakat - Bronze</v>
      </c>
      <c r="Q93" s="12" t="str">
        <f>IF(B93="","Remove - missing ID",IF(OR(E93="",K93=""),"Remove - invalid date",IF(COUNTIF($B$2:B93,B93)&gt;1,"Remove - duplicate ID","Keep")))</f>
        <v>Keep</v>
      </c>
      <c r="R93" s="8" t="str">
        <f t="shared" si="17"/>
        <v>Yes</v>
      </c>
    </row>
    <row r="94" spans="1:18" x14ac:dyDescent="0.25">
      <c r="A94" s="8">
        <f>ROW(Raw_Data!A94)</f>
        <v>94</v>
      </c>
      <c r="B94" s="8" t="str">
        <f>TRIM(CLEAN(Raw_Data!A94))</f>
        <v>CUS02322</v>
      </c>
      <c r="C94" s="8" t="str">
        <f>IF(TRIM(CLEAN(Raw_Data!B94))="","Not Provided",PROPER(TRIM(CLEAN(Raw_Data!B94))))</f>
        <v>Maged Ali</v>
      </c>
      <c r="D94" s="8" t="str">
        <f>IF(OR(PROPER(TRIM(CLEAN(Raw_Data!C94)))="Male",PROPER(TRIM(CLEAN(Raw_Data!C94)))="Female"),PROPER(TRIM(CLEAN(Raw_Data!C94))),"Unknown")</f>
        <v>Male</v>
      </c>
      <c r="E94" s="11">
        <f>IF(ISNUMBER(Raw_Data!D94),Raw_Data!D94,IFERROR(DATEVALUE(Raw_Data!D94),""))</f>
        <v>26857</v>
      </c>
      <c r="F94" s="8" t="str">
        <f>IF(TRIM(CLEAN(Raw_Data!E94))="","Not Provided",TRIM(CLEAN(Raw_Data!E94)))</f>
        <v>1069565923</v>
      </c>
      <c r="G94" s="8" t="str">
        <f>IF(TRIM(CLEAN(Raw_Data!F94))="","Not Provided",LOWER(TRIM(CLEAN(Raw_Data!F94))))</f>
        <v>maged.ali99@hotmail.com</v>
      </c>
      <c r="H94" s="8" t="str">
        <f>IF(TRIM(CLEAN(Raw_Data!G94))="","Not Provided",PROPER(TRIM(CLEAN(Raw_Data!G94))))</f>
        <v>Tanta</v>
      </c>
      <c r="I94" s="8" t="str">
        <f>IF(TRIM(CLEAN(Raw_Data!H94))="","Not Provided",PROPER(TRIM(CLEAN(Raw_Data!H94))))</f>
        <v>Nile Delta</v>
      </c>
      <c r="J94" s="8" t="str">
        <f>IF(OR(PROPER(TRIM(CLEAN(Raw_Data!I94)))="Bronze",PROPER(TRIM(CLEAN(Raw_Data!I94)))="Silver",PROPER(TRIM(CLEAN(Raw_Data!I94)))="Gold"),PROPER(TRIM(CLEAN(Raw_Data!I94))),"Unknown")</f>
        <v>Bronze</v>
      </c>
      <c r="K94" s="11">
        <f>IF(ISNUMBER(Raw_Data!J94),Raw_Data!J94,IFERROR(DATEVALUE(Raw_Data!J94),""))</f>
        <v>43958</v>
      </c>
      <c r="L94" s="8" t="str">
        <f t="shared" si="12"/>
        <v>hotmail.com</v>
      </c>
      <c r="M94" s="8" t="str">
        <f t="shared" si="13"/>
        <v>CUS</v>
      </c>
      <c r="N94" s="8" t="str">
        <f t="shared" si="14"/>
        <v>02322</v>
      </c>
      <c r="O94" s="8" t="str">
        <f t="shared" si="15"/>
        <v>5923</v>
      </c>
      <c r="P94" s="8" t="str">
        <f t="shared" si="16"/>
        <v>Maged Ali - Bronze</v>
      </c>
      <c r="Q94" s="12" t="str">
        <f>IF(B94="","Remove - missing ID",IF(OR(E94="",K94=""),"Remove - invalid date",IF(COUNTIF($B$2:B94,B94)&gt;1,"Remove - duplicate ID","Keep")))</f>
        <v>Keep</v>
      </c>
      <c r="R94" s="8" t="str">
        <f t="shared" si="17"/>
        <v>Yes</v>
      </c>
    </row>
    <row r="95" spans="1:18" x14ac:dyDescent="0.25">
      <c r="A95" s="8">
        <f>ROW(Raw_Data!A95)</f>
        <v>95</v>
      </c>
      <c r="B95" s="8" t="str">
        <f>TRIM(CLEAN(Raw_Data!A95))</f>
        <v>CUS00175</v>
      </c>
      <c r="C95" s="8" t="str">
        <f>IF(TRIM(CLEAN(Raw_Data!B95))="","Not Provided",PROPER(TRIM(CLEAN(Raw_Data!B95))))</f>
        <v>Ashraf Badawi</v>
      </c>
      <c r="D95" s="8" t="str">
        <f>IF(OR(PROPER(TRIM(CLEAN(Raw_Data!C95)))="Male",PROPER(TRIM(CLEAN(Raw_Data!C95)))="Female"),PROPER(TRIM(CLEAN(Raw_Data!C95))),"Unknown")</f>
        <v>Male</v>
      </c>
      <c r="E95" s="11">
        <f>IF(ISNUMBER(Raw_Data!D95),Raw_Data!D95,IFERROR(DATEVALUE(Raw_Data!D95),""))</f>
        <v>27687</v>
      </c>
      <c r="F95" s="8" t="str">
        <f>IF(TRIM(CLEAN(Raw_Data!E95))="","Not Provided",TRIM(CLEAN(Raw_Data!E95)))</f>
        <v>1042844845</v>
      </c>
      <c r="G95" s="8" t="str">
        <f>IF(TRIM(CLEAN(Raw_Data!F95))="","Not Provided",LOWER(TRIM(CLEAN(Raw_Data!F95))))</f>
        <v>ashraf.badawi27@gmail.com</v>
      </c>
      <c r="H95" s="8" t="str">
        <f>IF(TRIM(CLEAN(Raw_Data!G95))="","Not Provided",PROPER(TRIM(CLEAN(Raw_Data!G95))))</f>
        <v>Mansoura</v>
      </c>
      <c r="I95" s="8" t="str">
        <f>IF(TRIM(CLEAN(Raw_Data!H95))="","Not Provided",PROPER(TRIM(CLEAN(Raw_Data!H95))))</f>
        <v>Nile Delta</v>
      </c>
      <c r="J95" s="8" t="str">
        <f>IF(OR(PROPER(TRIM(CLEAN(Raw_Data!I95)))="Bronze",PROPER(TRIM(CLEAN(Raw_Data!I95)))="Silver",PROPER(TRIM(CLEAN(Raw_Data!I95)))="Gold"),PROPER(TRIM(CLEAN(Raw_Data!I95))),"Unknown")</f>
        <v>Silver</v>
      </c>
      <c r="K95" s="11">
        <f>IF(ISNUMBER(Raw_Data!J95),Raw_Data!J95,IFERROR(DATEVALUE(Raw_Data!J95),""))</f>
        <v>44257</v>
      </c>
      <c r="L95" s="8" t="str">
        <f t="shared" si="12"/>
        <v>gmail.com</v>
      </c>
      <c r="M95" s="8" t="str">
        <f t="shared" si="13"/>
        <v>CUS</v>
      </c>
      <c r="N95" s="8" t="str">
        <f t="shared" si="14"/>
        <v>00175</v>
      </c>
      <c r="O95" s="8" t="str">
        <f t="shared" si="15"/>
        <v>4845</v>
      </c>
      <c r="P95" s="8" t="str">
        <f t="shared" si="16"/>
        <v>Ashraf Badawi - Silver</v>
      </c>
      <c r="Q95" s="12" t="str">
        <f>IF(B95="","Remove - missing ID",IF(OR(E95="",K95=""),"Remove - invalid date",IF(COUNTIF($B$2:B95,B95)&gt;1,"Remove - duplicate ID","Keep")))</f>
        <v>Keep</v>
      </c>
      <c r="R95" s="8" t="str">
        <f t="shared" si="17"/>
        <v>Yes</v>
      </c>
    </row>
    <row r="96" spans="1:18" x14ac:dyDescent="0.25">
      <c r="A96" s="8">
        <f>ROW(Raw_Data!A96)</f>
        <v>96</v>
      </c>
      <c r="B96" s="8" t="str">
        <f>TRIM(CLEAN(Raw_Data!A96))</f>
        <v>CUS00053</v>
      </c>
      <c r="C96" s="8" t="str">
        <f>IF(TRIM(CLEAN(Raw_Data!B96))="","Not Provided",PROPER(TRIM(CLEAN(Raw_Data!B96))))</f>
        <v>Hoda Amin</v>
      </c>
      <c r="D96" s="8" t="str">
        <f>IF(OR(PROPER(TRIM(CLEAN(Raw_Data!C96)))="Male",PROPER(TRIM(CLEAN(Raw_Data!C96)))="Female"),PROPER(TRIM(CLEAN(Raw_Data!C96))),"Unknown")</f>
        <v>Female</v>
      </c>
      <c r="E96" s="11">
        <f>IF(ISNUMBER(Raw_Data!D96),Raw_Data!D96,IFERROR(DATEVALUE(Raw_Data!D96),""))</f>
        <v>36590</v>
      </c>
      <c r="F96" s="8" t="str">
        <f>IF(TRIM(CLEAN(Raw_Data!E96))="","Not Provided",TRIM(CLEAN(Raw_Data!E96)))</f>
        <v>1114661179</v>
      </c>
      <c r="G96" s="8" t="str">
        <f>IF(TRIM(CLEAN(Raw_Data!F96))="","Not Provided",LOWER(TRIM(CLEAN(Raw_Data!F96))))</f>
        <v>hoda.amin80@yahoo.com</v>
      </c>
      <c r="H96" s="8" t="str">
        <f>IF(TRIM(CLEAN(Raw_Data!G96))="","Not Provided",PROPER(TRIM(CLEAN(Raw_Data!G96))))</f>
        <v>Port Said</v>
      </c>
      <c r="I96" s="8" t="str">
        <f>IF(TRIM(CLEAN(Raw_Data!H96))="","Not Provided",PROPER(TRIM(CLEAN(Raw_Data!H96))))</f>
        <v>Canal Zone</v>
      </c>
      <c r="J96" s="8" t="str">
        <f>IF(OR(PROPER(TRIM(CLEAN(Raw_Data!I96)))="Bronze",PROPER(TRIM(CLEAN(Raw_Data!I96)))="Silver",PROPER(TRIM(CLEAN(Raw_Data!I96)))="Gold"),PROPER(TRIM(CLEAN(Raw_Data!I96))),"Unknown")</f>
        <v>Gold</v>
      </c>
      <c r="K96" s="11">
        <f>IF(ISNUMBER(Raw_Data!J96),Raw_Data!J96,IFERROR(DATEVALUE(Raw_Data!J96),""))</f>
        <v>44049</v>
      </c>
      <c r="L96" s="8" t="str">
        <f t="shared" si="12"/>
        <v>yahoo.com</v>
      </c>
      <c r="M96" s="8" t="str">
        <f t="shared" si="13"/>
        <v>CUS</v>
      </c>
      <c r="N96" s="8" t="str">
        <f t="shared" si="14"/>
        <v>00053</v>
      </c>
      <c r="O96" s="8" t="str">
        <f t="shared" si="15"/>
        <v>1179</v>
      </c>
      <c r="P96" s="8" t="str">
        <f t="shared" si="16"/>
        <v>Hoda Amin - Gold</v>
      </c>
      <c r="Q96" s="12" t="str">
        <f>IF(B96="","Remove - missing ID",IF(OR(E96="",K96=""),"Remove - invalid date",IF(COUNTIF($B$2:B96,B96)&gt;1,"Remove - duplicate ID","Keep")))</f>
        <v>Keep</v>
      </c>
      <c r="R96" s="8" t="str">
        <f t="shared" si="17"/>
        <v>Yes</v>
      </c>
    </row>
    <row r="97" spans="1:18" x14ac:dyDescent="0.25">
      <c r="A97" s="8">
        <f>ROW(Raw_Data!A97)</f>
        <v>97</v>
      </c>
      <c r="B97" s="8" t="str">
        <f>TRIM(CLEAN(Raw_Data!A97))</f>
        <v>CUS01147</v>
      </c>
      <c r="C97" s="8" t="str">
        <f>IF(TRIM(CLEAN(Raw_Data!B97))="","Not Provided",PROPER(TRIM(CLEAN(Raw_Data!B97))))</f>
        <v>Ashraf Sayed</v>
      </c>
      <c r="D97" s="8" t="str">
        <f>IF(OR(PROPER(TRIM(CLEAN(Raw_Data!C97)))="Male",PROPER(TRIM(CLEAN(Raw_Data!C97)))="Female"),PROPER(TRIM(CLEAN(Raw_Data!C97))),"Unknown")</f>
        <v>Male</v>
      </c>
      <c r="E97" s="11">
        <f>IF(ISNUMBER(Raw_Data!D97),Raw_Data!D97,IFERROR(DATEVALUE(Raw_Data!D97),""))</f>
        <v>25653</v>
      </c>
      <c r="F97" s="8" t="str">
        <f>IF(TRIM(CLEAN(Raw_Data!E97))="","Not Provided",TRIM(CLEAN(Raw_Data!E97)))</f>
        <v>1183421108</v>
      </c>
      <c r="G97" s="8" t="str">
        <f>IF(TRIM(CLEAN(Raw_Data!F97))="","Not Provided",LOWER(TRIM(CLEAN(Raw_Data!F97))))</f>
        <v>ashraf.sayed60@gmail.com</v>
      </c>
      <c r="H97" s="8" t="str">
        <f>IF(TRIM(CLEAN(Raw_Data!G97))="","Not Provided",PROPER(TRIM(CLEAN(Raw_Data!G97))))</f>
        <v>Hurghada</v>
      </c>
      <c r="I97" s="8" t="str">
        <f>IF(TRIM(CLEAN(Raw_Data!H97))="","Not Provided",PROPER(TRIM(CLEAN(Raw_Data!H97))))</f>
        <v>Red Sea</v>
      </c>
      <c r="J97" s="8" t="str">
        <f>IF(OR(PROPER(TRIM(CLEAN(Raw_Data!I97)))="Bronze",PROPER(TRIM(CLEAN(Raw_Data!I97)))="Silver",PROPER(TRIM(CLEAN(Raw_Data!I97)))="Gold"),PROPER(TRIM(CLEAN(Raw_Data!I97))),"Unknown")</f>
        <v>Bronze</v>
      </c>
      <c r="K97" s="11">
        <f>IF(ISNUMBER(Raw_Data!J97),Raw_Data!J97,IFERROR(DATEVALUE(Raw_Data!J97),""))</f>
        <v>43911</v>
      </c>
      <c r="L97" s="8" t="str">
        <f t="shared" si="12"/>
        <v>gmail.com</v>
      </c>
      <c r="M97" s="8" t="str">
        <f t="shared" si="13"/>
        <v>CUS</v>
      </c>
      <c r="N97" s="8" t="str">
        <f t="shared" si="14"/>
        <v>01147</v>
      </c>
      <c r="O97" s="8" t="str">
        <f t="shared" si="15"/>
        <v>1108</v>
      </c>
      <c r="P97" s="8" t="str">
        <f t="shared" si="16"/>
        <v>Ashraf Sayed - Bronze</v>
      </c>
      <c r="Q97" s="12" t="str">
        <f>IF(B97="","Remove - missing ID",IF(OR(E97="",K97=""),"Remove - invalid date",IF(COUNTIF($B$2:B97,B97)&gt;1,"Remove - duplicate ID","Keep")))</f>
        <v>Keep</v>
      </c>
      <c r="R97" s="8" t="str">
        <f t="shared" si="17"/>
        <v>Yes</v>
      </c>
    </row>
    <row r="98" spans="1:18" x14ac:dyDescent="0.25">
      <c r="A98" s="8">
        <f>ROW(Raw_Data!A98)</f>
        <v>98</v>
      </c>
      <c r="B98" s="8" t="str">
        <f>TRIM(CLEAN(Raw_Data!A98))</f>
        <v>CUS00145</v>
      </c>
      <c r="C98" s="8" t="str">
        <f>IF(TRIM(CLEAN(Raw_Data!B98))="","Not Provided",PROPER(TRIM(CLEAN(Raw_Data!B98))))</f>
        <v>Neveen Attia</v>
      </c>
      <c r="D98" s="8" t="str">
        <f>IF(OR(PROPER(TRIM(CLEAN(Raw_Data!C98)))="Male",PROPER(TRIM(CLEAN(Raw_Data!C98)))="Female"),PROPER(TRIM(CLEAN(Raw_Data!C98))),"Unknown")</f>
        <v>Female</v>
      </c>
      <c r="E98" s="11">
        <f>IF(ISNUMBER(Raw_Data!D98),Raw_Data!D98,IFERROR(DATEVALUE(Raw_Data!D98),""))</f>
        <v>25889</v>
      </c>
      <c r="F98" s="8" t="str">
        <f>IF(TRIM(CLEAN(Raw_Data!E98))="","Not Provided",TRIM(CLEAN(Raw_Data!E98)))</f>
        <v>1134901990</v>
      </c>
      <c r="G98" s="8" t="str">
        <f>IF(TRIM(CLEAN(Raw_Data!F98))="","Not Provided",LOWER(TRIM(CLEAN(Raw_Data!F98))))</f>
        <v>neveen.attia42@gmail.com</v>
      </c>
      <c r="H98" s="8" t="str">
        <f>IF(TRIM(CLEAN(Raw_Data!G98))="","Not Provided",PROPER(TRIM(CLEAN(Raw_Data!G98))))</f>
        <v>Giza</v>
      </c>
      <c r="I98" s="8" t="str">
        <f>IF(TRIM(CLEAN(Raw_Data!H98))="","Not Provided",PROPER(TRIM(CLEAN(Raw_Data!H98))))</f>
        <v>Greater Cairo</v>
      </c>
      <c r="J98" s="8" t="str">
        <f>IF(OR(PROPER(TRIM(CLEAN(Raw_Data!I98)))="Bronze",PROPER(TRIM(CLEAN(Raw_Data!I98)))="Silver",PROPER(TRIM(CLEAN(Raw_Data!I98)))="Gold"),PROPER(TRIM(CLEAN(Raw_Data!I98))),"Unknown")</f>
        <v>Silver</v>
      </c>
      <c r="K98" s="11">
        <f>IF(ISNUMBER(Raw_Data!J98),Raw_Data!J98,IFERROR(DATEVALUE(Raw_Data!J98),""))</f>
        <v>45033</v>
      </c>
      <c r="L98" s="8" t="str">
        <f t="shared" ref="L98:L129" si="18">IFERROR(MID(G98,FIND("@",G98)+1,99),"")</f>
        <v>gmail.com</v>
      </c>
      <c r="M98" s="8" t="str">
        <f t="shared" ref="M98:M129" si="19">LEFT(B98,3)</f>
        <v>CUS</v>
      </c>
      <c r="N98" s="8" t="str">
        <f t="shared" ref="N98:N129" si="20">IFERROR(MID(B98,4,10),"")</f>
        <v>00145</v>
      </c>
      <c r="O98" s="8" t="str">
        <f t="shared" ref="O98:O129" si="21">RIGHT(F98,4)</f>
        <v>1990</v>
      </c>
      <c r="P98" s="8" t="str">
        <f t="shared" ref="P98:P129" si="22">CONCATENATE(C98," - ",J98)</f>
        <v>Neveen Attia - Silver</v>
      </c>
      <c r="Q98" s="12" t="str">
        <f>IF(B98="","Remove - missing ID",IF(OR(E98="",K98=""),"Remove - invalid date",IF(COUNTIF($B$2:B98,B98)&gt;1,"Remove - duplicate ID","Keep")))</f>
        <v>Keep</v>
      </c>
      <c r="R98" s="8" t="str">
        <f t="shared" ref="R98:R129" si="23">IF(Q98="Keep","Yes","No")</f>
        <v>Yes</v>
      </c>
    </row>
    <row r="99" spans="1:18" x14ac:dyDescent="0.25">
      <c r="A99" s="8">
        <f>ROW(Raw_Data!A99)</f>
        <v>99</v>
      </c>
      <c r="B99" s="8" t="str">
        <f>TRIM(CLEAN(Raw_Data!A99))</f>
        <v>CUS00332</v>
      </c>
      <c r="C99" s="8" t="str">
        <f>IF(TRIM(CLEAN(Raw_Data!B99))="","Not Provided",PROPER(TRIM(CLEAN(Raw_Data!B99))))</f>
        <v>Ayman Mohamed</v>
      </c>
      <c r="D99" s="8" t="str">
        <f>IF(OR(PROPER(TRIM(CLEAN(Raw_Data!C99)))="Male",PROPER(TRIM(CLEAN(Raw_Data!C99)))="Female"),PROPER(TRIM(CLEAN(Raw_Data!C99))),"Unknown")</f>
        <v>Male</v>
      </c>
      <c r="E99" s="11">
        <f>IF(ISNUMBER(Raw_Data!D99),Raw_Data!D99,IFERROR(DATEVALUE(Raw_Data!D99),""))</f>
        <v>33366</v>
      </c>
      <c r="F99" s="8" t="str">
        <f>IF(TRIM(CLEAN(Raw_Data!E99))="","Not Provided",TRIM(CLEAN(Raw_Data!E99)))</f>
        <v>1073562365</v>
      </c>
      <c r="G99" s="8" t="str">
        <f>IF(TRIM(CLEAN(Raw_Data!F99))="","Not Provided",LOWER(TRIM(CLEAN(Raw_Data!F99))))</f>
        <v>ayman.mohamed31@gmail.com</v>
      </c>
      <c r="H99" s="8" t="str">
        <f>IF(TRIM(CLEAN(Raw_Data!G99))="","Not Provided",PROPER(TRIM(CLEAN(Raw_Data!G99))))</f>
        <v>Zagazig</v>
      </c>
      <c r="I99" s="8" t="str">
        <f>IF(TRIM(CLEAN(Raw_Data!H99))="","Not Provided",PROPER(TRIM(CLEAN(Raw_Data!H99))))</f>
        <v>Nile Delta</v>
      </c>
      <c r="J99" s="8" t="str">
        <f>IF(OR(PROPER(TRIM(CLEAN(Raw_Data!I99)))="Bronze",PROPER(TRIM(CLEAN(Raw_Data!I99)))="Silver",PROPER(TRIM(CLEAN(Raw_Data!I99)))="Gold"),PROPER(TRIM(CLEAN(Raw_Data!I99))),"Unknown")</f>
        <v>Bronze</v>
      </c>
      <c r="K99" s="11">
        <f>IF(ISNUMBER(Raw_Data!J99),Raw_Data!J99,IFERROR(DATEVALUE(Raw_Data!J99),""))</f>
        <v>44978</v>
      </c>
      <c r="L99" s="8" t="str">
        <f t="shared" si="18"/>
        <v>gmail.com</v>
      </c>
      <c r="M99" s="8" t="str">
        <f t="shared" si="19"/>
        <v>CUS</v>
      </c>
      <c r="N99" s="8" t="str">
        <f t="shared" si="20"/>
        <v>00332</v>
      </c>
      <c r="O99" s="8" t="str">
        <f t="shared" si="21"/>
        <v>2365</v>
      </c>
      <c r="P99" s="8" t="str">
        <f t="shared" si="22"/>
        <v>Ayman Mohamed - Bronze</v>
      </c>
      <c r="Q99" s="12" t="str">
        <f>IF(B99="","Remove - missing ID",IF(OR(E99="",K99=""),"Remove - invalid date",IF(COUNTIF($B$2:B99,B99)&gt;1,"Remove - duplicate ID","Keep")))</f>
        <v>Keep</v>
      </c>
      <c r="R99" s="8" t="str">
        <f t="shared" si="23"/>
        <v>Yes</v>
      </c>
    </row>
    <row r="100" spans="1:18" x14ac:dyDescent="0.25">
      <c r="A100" s="8">
        <f>ROW(Raw_Data!A100)</f>
        <v>100</v>
      </c>
      <c r="B100" s="8" t="str">
        <f>TRIM(CLEAN(Raw_Data!A100))</f>
        <v>CUS00247</v>
      </c>
      <c r="C100" s="8" t="str">
        <f>IF(TRIM(CLEAN(Raw_Data!B100))="","Not Provided",PROPER(TRIM(CLEAN(Raw_Data!B100))))</f>
        <v>Nader Khalil</v>
      </c>
      <c r="D100" s="8" t="str">
        <f>IF(OR(PROPER(TRIM(CLEAN(Raw_Data!C100)))="Male",PROPER(TRIM(CLEAN(Raw_Data!C100)))="Female"),PROPER(TRIM(CLEAN(Raw_Data!C100))),"Unknown")</f>
        <v>Male</v>
      </c>
      <c r="E100" s="11">
        <f>IF(ISNUMBER(Raw_Data!D100),Raw_Data!D100,IFERROR(DATEVALUE(Raw_Data!D100),""))</f>
        <v>27855</v>
      </c>
      <c r="F100" s="8" t="str">
        <f>IF(TRIM(CLEAN(Raw_Data!E100))="","Not Provided",TRIM(CLEAN(Raw_Data!E100)))</f>
        <v>1239677351</v>
      </c>
      <c r="G100" s="8" t="str">
        <f>IF(TRIM(CLEAN(Raw_Data!F100))="","Not Provided",LOWER(TRIM(CLEAN(Raw_Data!F100))))</f>
        <v>nader.khalil68@gmail.com</v>
      </c>
      <c r="H100" s="8" t="str">
        <f>IF(TRIM(CLEAN(Raw_Data!G100))="","Not Provided",PROPER(TRIM(CLEAN(Raw_Data!G100))))</f>
        <v>Giza</v>
      </c>
      <c r="I100" s="8" t="str">
        <f>IF(TRIM(CLEAN(Raw_Data!H100))="","Not Provided",PROPER(TRIM(CLEAN(Raw_Data!H100))))</f>
        <v>Greater Cairo</v>
      </c>
      <c r="J100" s="8" t="str">
        <f>IF(OR(PROPER(TRIM(CLEAN(Raw_Data!I100)))="Bronze",PROPER(TRIM(CLEAN(Raw_Data!I100)))="Silver",PROPER(TRIM(CLEAN(Raw_Data!I100)))="Gold"),PROPER(TRIM(CLEAN(Raw_Data!I100))),"Unknown")</f>
        <v>Bronze</v>
      </c>
      <c r="K100" s="11">
        <f>IF(ISNUMBER(Raw_Data!J100),Raw_Data!J100,IFERROR(DATEVALUE(Raw_Data!J100),""))</f>
        <v>45141</v>
      </c>
      <c r="L100" s="8" t="str">
        <f t="shared" si="18"/>
        <v>gmail.com</v>
      </c>
      <c r="M100" s="8" t="str">
        <f t="shared" si="19"/>
        <v>CUS</v>
      </c>
      <c r="N100" s="8" t="str">
        <f t="shared" si="20"/>
        <v>00247</v>
      </c>
      <c r="O100" s="8" t="str">
        <f t="shared" si="21"/>
        <v>7351</v>
      </c>
      <c r="P100" s="8" t="str">
        <f t="shared" si="22"/>
        <v>Nader Khalil - Bronze</v>
      </c>
      <c r="Q100" s="12" t="str">
        <f>IF(B100="","Remove - missing ID",IF(OR(E100="",K100=""),"Remove - invalid date",IF(COUNTIF($B$2:B100,B100)&gt;1,"Remove - duplicate ID","Keep")))</f>
        <v>Keep</v>
      </c>
      <c r="R100" s="8" t="str">
        <f t="shared" si="23"/>
        <v>Yes</v>
      </c>
    </row>
    <row r="101" spans="1:18" x14ac:dyDescent="0.25">
      <c r="A101" s="8">
        <f>ROW(Raw_Data!A101)</f>
        <v>101</v>
      </c>
      <c r="B101" s="8" t="str">
        <f>TRIM(CLEAN(Raw_Data!A101))</f>
        <v>CUS01972</v>
      </c>
      <c r="C101" s="8" t="str">
        <f>IF(TRIM(CLEAN(Raw_Data!B101))="","Not Provided",PROPER(TRIM(CLEAN(Raw_Data!B101))))</f>
        <v>Mona Saad</v>
      </c>
      <c r="D101" s="8" t="str">
        <f>IF(OR(PROPER(TRIM(CLEAN(Raw_Data!C101)))="Male",PROPER(TRIM(CLEAN(Raw_Data!C101)))="Female"),PROPER(TRIM(CLEAN(Raw_Data!C101))),"Unknown")</f>
        <v>Female</v>
      </c>
      <c r="E101" s="11">
        <f>IF(ISNUMBER(Raw_Data!D101),Raw_Data!D101,IFERROR(DATEVALUE(Raw_Data!D101),""))</f>
        <v>37476</v>
      </c>
      <c r="F101" s="8" t="str">
        <f>IF(TRIM(CLEAN(Raw_Data!E101))="","Not Provided",TRIM(CLEAN(Raw_Data!E101)))</f>
        <v>1046897895</v>
      </c>
      <c r="G101" s="8" t="str">
        <f>IF(TRIM(CLEAN(Raw_Data!F101))="","Not Provided",LOWER(TRIM(CLEAN(Raw_Data!F101))))</f>
        <v>mona.saad53@gmail.com</v>
      </c>
      <c r="H101" s="8" t="str">
        <f>IF(TRIM(CLEAN(Raw_Data!G101))="","Not Provided",PROPER(TRIM(CLEAN(Raw_Data!G101))))</f>
        <v>Aswan</v>
      </c>
      <c r="I101" s="8" t="str">
        <f>IF(TRIM(CLEAN(Raw_Data!H101))="","Not Provided",PROPER(TRIM(CLEAN(Raw_Data!H101))))</f>
        <v>Upper Egypt</v>
      </c>
      <c r="J101" s="8" t="str">
        <f>IF(OR(PROPER(TRIM(CLEAN(Raw_Data!I101)))="Bronze",PROPER(TRIM(CLEAN(Raw_Data!I101)))="Silver",PROPER(TRIM(CLEAN(Raw_Data!I101)))="Gold"),PROPER(TRIM(CLEAN(Raw_Data!I101))),"Unknown")</f>
        <v>Bronze</v>
      </c>
      <c r="K101" s="11">
        <f>IF(ISNUMBER(Raw_Data!J101),Raw_Data!J101,IFERROR(DATEVALUE(Raw_Data!J101),""))</f>
        <v>45268</v>
      </c>
      <c r="L101" s="8" t="str">
        <f t="shared" si="18"/>
        <v>gmail.com</v>
      </c>
      <c r="M101" s="8" t="str">
        <f t="shared" si="19"/>
        <v>CUS</v>
      </c>
      <c r="N101" s="8" t="str">
        <f t="shared" si="20"/>
        <v>01972</v>
      </c>
      <c r="O101" s="8" t="str">
        <f t="shared" si="21"/>
        <v>7895</v>
      </c>
      <c r="P101" s="8" t="str">
        <f t="shared" si="22"/>
        <v>Mona Saad - Bronze</v>
      </c>
      <c r="Q101" s="12" t="str">
        <f>IF(B101="","Remove - missing ID",IF(OR(E101="",K101=""),"Remove - invalid date",IF(COUNTIF($B$2:B101,B101)&gt;1,"Remove - duplicate ID","Keep")))</f>
        <v>Keep</v>
      </c>
      <c r="R101" s="8" t="str">
        <f t="shared" si="23"/>
        <v>Yes</v>
      </c>
    </row>
    <row r="102" spans="1:18" x14ac:dyDescent="0.25">
      <c r="A102" s="8">
        <f>ROW(Raw_Data!A102)</f>
        <v>102</v>
      </c>
      <c r="B102" s="8" t="str">
        <f>TRIM(CLEAN(Raw_Data!A102))</f>
        <v>CUS02485</v>
      </c>
      <c r="C102" s="8" t="str">
        <f>IF(TRIM(CLEAN(Raw_Data!B102))="","Not Provided",PROPER(TRIM(CLEAN(Raw_Data!B102))))</f>
        <v>Ali Gouda</v>
      </c>
      <c r="D102" s="8" t="str">
        <f>IF(OR(PROPER(TRIM(CLEAN(Raw_Data!C102)))="Male",PROPER(TRIM(CLEAN(Raw_Data!C102)))="Female"),PROPER(TRIM(CLEAN(Raw_Data!C102))),"Unknown")</f>
        <v>Male</v>
      </c>
      <c r="E102" s="11">
        <f>IF(ISNUMBER(Raw_Data!D102),Raw_Data!D102,IFERROR(DATEVALUE(Raw_Data!D102),""))</f>
        <v>28139</v>
      </c>
      <c r="F102" s="8" t="str">
        <f>IF(TRIM(CLEAN(Raw_Data!E102))="","Not Provided",TRIM(CLEAN(Raw_Data!E102)))</f>
        <v>1126341998</v>
      </c>
      <c r="G102" s="8" t="str">
        <f>IF(TRIM(CLEAN(Raw_Data!F102))="","Not Provided",LOWER(TRIM(CLEAN(Raw_Data!F102))))</f>
        <v>ali.gouda8@hotmail.com</v>
      </c>
      <c r="H102" s="8" t="str">
        <f>IF(TRIM(CLEAN(Raw_Data!G102))="","Not Provided",PROPER(TRIM(CLEAN(Raw_Data!G102))))</f>
        <v>Alexandria</v>
      </c>
      <c r="I102" s="8" t="str">
        <f>IF(TRIM(CLEAN(Raw_Data!H102))="","Not Provided",PROPER(TRIM(CLEAN(Raw_Data!H102))))</f>
        <v>Alexandria</v>
      </c>
      <c r="J102" s="8" t="str">
        <f>IF(OR(PROPER(TRIM(CLEAN(Raw_Data!I102)))="Bronze",PROPER(TRIM(CLEAN(Raw_Data!I102)))="Silver",PROPER(TRIM(CLEAN(Raw_Data!I102)))="Gold"),PROPER(TRIM(CLEAN(Raw_Data!I102))),"Unknown")</f>
        <v>Bronze</v>
      </c>
      <c r="K102" s="11">
        <f>IF(ISNUMBER(Raw_Data!J102),Raw_Data!J102,IFERROR(DATEVALUE(Raw_Data!J102),""))</f>
        <v>43955</v>
      </c>
      <c r="L102" s="8" t="str">
        <f t="shared" si="18"/>
        <v>hotmail.com</v>
      </c>
      <c r="M102" s="8" t="str">
        <f t="shared" si="19"/>
        <v>CUS</v>
      </c>
      <c r="N102" s="8" t="str">
        <f t="shared" si="20"/>
        <v>02485</v>
      </c>
      <c r="O102" s="8" t="str">
        <f t="shared" si="21"/>
        <v>1998</v>
      </c>
      <c r="P102" s="8" t="str">
        <f t="shared" si="22"/>
        <v>Ali Gouda - Bronze</v>
      </c>
      <c r="Q102" s="12" t="str">
        <f>IF(B102="","Remove - missing ID",IF(OR(E102="",K102=""),"Remove - invalid date",IF(COUNTIF($B$2:B102,B102)&gt;1,"Remove - duplicate ID","Keep")))</f>
        <v>Keep</v>
      </c>
      <c r="R102" s="8" t="str">
        <f t="shared" si="23"/>
        <v>Yes</v>
      </c>
    </row>
    <row r="103" spans="1:18" x14ac:dyDescent="0.25">
      <c r="A103" s="8">
        <f>ROW(Raw_Data!A103)</f>
        <v>103</v>
      </c>
      <c r="B103" s="8" t="str">
        <f>TRIM(CLEAN(Raw_Data!A103))</f>
        <v>CUS01621</v>
      </c>
      <c r="C103" s="8" t="str">
        <f>IF(TRIM(CLEAN(Raw_Data!B103))="","Not Provided",PROPER(TRIM(CLEAN(Raw_Data!B103))))</f>
        <v>Aisha Ismail</v>
      </c>
      <c r="D103" s="8" t="str">
        <f>IF(OR(PROPER(TRIM(CLEAN(Raw_Data!C103)))="Male",PROPER(TRIM(CLEAN(Raw_Data!C103)))="Female"),PROPER(TRIM(CLEAN(Raw_Data!C103))),"Unknown")</f>
        <v>Female</v>
      </c>
      <c r="E103" s="11">
        <f>IF(ISNUMBER(Raw_Data!D103),Raw_Data!D103,IFERROR(DATEVALUE(Raw_Data!D103),""))</f>
        <v>27957</v>
      </c>
      <c r="F103" s="8" t="str">
        <f>IF(TRIM(CLEAN(Raw_Data!E103))="","Not Provided",TRIM(CLEAN(Raw_Data!E103)))</f>
        <v>1284787394</v>
      </c>
      <c r="G103" s="8" t="str">
        <f>IF(TRIM(CLEAN(Raw_Data!F103))="","Not Provided",LOWER(TRIM(CLEAN(Raw_Data!F103))))</f>
        <v>aisha.ismail48@hotmail.com</v>
      </c>
      <c r="H103" s="8" t="str">
        <f>IF(TRIM(CLEAN(Raw_Data!G103))="","Not Provided",PROPER(TRIM(CLEAN(Raw_Data!G103))))</f>
        <v>Alexandria</v>
      </c>
      <c r="I103" s="8" t="str">
        <f>IF(TRIM(CLEAN(Raw_Data!H103))="","Not Provided",PROPER(TRIM(CLEAN(Raw_Data!H103))))</f>
        <v>Alexandria</v>
      </c>
      <c r="J103" s="8" t="str">
        <f>IF(OR(PROPER(TRIM(CLEAN(Raw_Data!I103)))="Bronze",PROPER(TRIM(CLEAN(Raw_Data!I103)))="Silver",PROPER(TRIM(CLEAN(Raw_Data!I103)))="Gold"),PROPER(TRIM(CLEAN(Raw_Data!I103))),"Unknown")</f>
        <v>Bronze</v>
      </c>
      <c r="K103" s="11">
        <f>IF(ISNUMBER(Raw_Data!J103),Raw_Data!J103,IFERROR(DATEVALUE(Raw_Data!J103),""))</f>
        <v>45235</v>
      </c>
      <c r="L103" s="8" t="str">
        <f t="shared" si="18"/>
        <v>hotmail.com</v>
      </c>
      <c r="M103" s="8" t="str">
        <f t="shared" si="19"/>
        <v>CUS</v>
      </c>
      <c r="N103" s="8" t="str">
        <f t="shared" si="20"/>
        <v>01621</v>
      </c>
      <c r="O103" s="8" t="str">
        <f t="shared" si="21"/>
        <v>7394</v>
      </c>
      <c r="P103" s="8" t="str">
        <f t="shared" si="22"/>
        <v>Aisha Ismail - Bronze</v>
      </c>
      <c r="Q103" s="12" t="str">
        <f>IF(B103="","Remove - missing ID",IF(OR(E103="",K103=""),"Remove - invalid date",IF(COUNTIF($B$2:B103,B103)&gt;1,"Remove - duplicate ID","Keep")))</f>
        <v>Keep</v>
      </c>
      <c r="R103" s="8" t="str">
        <f t="shared" si="23"/>
        <v>Yes</v>
      </c>
    </row>
    <row r="104" spans="1:18" x14ac:dyDescent="0.25">
      <c r="A104" s="8">
        <f>ROW(Raw_Data!A104)</f>
        <v>104</v>
      </c>
      <c r="B104" s="8" t="str">
        <f>TRIM(CLEAN(Raw_Data!A104))</f>
        <v>CUS00558</v>
      </c>
      <c r="C104" s="8" t="str">
        <f>IF(TRIM(CLEAN(Raw_Data!B104))="","Not Provided",PROPER(TRIM(CLEAN(Raw_Data!B104))))</f>
        <v>Tarek Barakat</v>
      </c>
      <c r="D104" s="8" t="str">
        <f>IF(OR(PROPER(TRIM(CLEAN(Raw_Data!C104)))="Male",PROPER(TRIM(CLEAN(Raw_Data!C104)))="Female"),PROPER(TRIM(CLEAN(Raw_Data!C104))),"Unknown")</f>
        <v>Male</v>
      </c>
      <c r="E104" s="11">
        <f>IF(ISNUMBER(Raw_Data!D104),Raw_Data!D104,IFERROR(DATEVALUE(Raw_Data!D104),""))</f>
        <v>29970</v>
      </c>
      <c r="F104" s="8" t="str">
        <f>IF(TRIM(CLEAN(Raw_Data!E104))="","Not Provided",TRIM(CLEAN(Raw_Data!E104)))</f>
        <v>1154084020</v>
      </c>
      <c r="G104" s="8" t="str">
        <f>IF(TRIM(CLEAN(Raw_Data!F104))="","Not Provided",LOWER(TRIM(CLEAN(Raw_Data!F104))))</f>
        <v>tarek.barakat78@hotmail.com</v>
      </c>
      <c r="H104" s="8" t="str">
        <f>IF(TRIM(CLEAN(Raw_Data!G104))="","Not Provided",PROPER(TRIM(CLEAN(Raw_Data!G104))))</f>
        <v>Cairo</v>
      </c>
      <c r="I104" s="8" t="str">
        <f>IF(TRIM(CLEAN(Raw_Data!H104))="","Not Provided",PROPER(TRIM(CLEAN(Raw_Data!H104))))</f>
        <v>Greater Cairo</v>
      </c>
      <c r="J104" s="8" t="str">
        <f>IF(OR(PROPER(TRIM(CLEAN(Raw_Data!I104)))="Bronze",PROPER(TRIM(CLEAN(Raw_Data!I104)))="Silver",PROPER(TRIM(CLEAN(Raw_Data!I104)))="Gold"),PROPER(TRIM(CLEAN(Raw_Data!I104))),"Unknown")</f>
        <v>Silver</v>
      </c>
      <c r="K104" s="11">
        <f>IF(ISNUMBER(Raw_Data!J104),Raw_Data!J104,IFERROR(DATEVALUE(Raw_Data!J104),""))</f>
        <v>44144</v>
      </c>
      <c r="L104" s="8" t="str">
        <f t="shared" si="18"/>
        <v>hotmail.com</v>
      </c>
      <c r="M104" s="8" t="str">
        <f t="shared" si="19"/>
        <v>CUS</v>
      </c>
      <c r="N104" s="8" t="str">
        <f t="shared" si="20"/>
        <v>00558</v>
      </c>
      <c r="O104" s="8" t="str">
        <f t="shared" si="21"/>
        <v>4020</v>
      </c>
      <c r="P104" s="8" t="str">
        <f t="shared" si="22"/>
        <v>Tarek Barakat - Silver</v>
      </c>
      <c r="Q104" s="12" t="str">
        <f>IF(B104="","Remove - missing ID",IF(OR(E104="",K104=""),"Remove - invalid date",IF(COUNTIF($B$2:B104,B104)&gt;1,"Remove - duplicate ID","Keep")))</f>
        <v>Keep</v>
      </c>
      <c r="R104" s="8" t="str">
        <f t="shared" si="23"/>
        <v>Yes</v>
      </c>
    </row>
    <row r="105" spans="1:18" x14ac:dyDescent="0.25">
      <c r="A105" s="8">
        <f>ROW(Raw_Data!A105)</f>
        <v>105</v>
      </c>
      <c r="B105" s="8" t="str">
        <f>TRIM(CLEAN(Raw_Data!A105))</f>
        <v>CUS00252</v>
      </c>
      <c r="C105" s="8" t="str">
        <f>IF(TRIM(CLEAN(Raw_Data!B105))="","Not Provided",PROPER(TRIM(CLEAN(Raw_Data!B105))))</f>
        <v>Hussein Nasser</v>
      </c>
      <c r="D105" s="8" t="str">
        <f>IF(OR(PROPER(TRIM(CLEAN(Raw_Data!C105)))="Male",PROPER(TRIM(CLEAN(Raw_Data!C105)))="Female"),PROPER(TRIM(CLEAN(Raw_Data!C105))),"Unknown")</f>
        <v>Male</v>
      </c>
      <c r="E105" s="11">
        <f>IF(ISNUMBER(Raw_Data!D105),Raw_Data!D105,IFERROR(DATEVALUE(Raw_Data!D105),""))</f>
        <v>37606</v>
      </c>
      <c r="F105" s="8" t="str">
        <f>IF(TRIM(CLEAN(Raw_Data!E105))="","Not Provided",TRIM(CLEAN(Raw_Data!E105)))</f>
        <v>1189105321</v>
      </c>
      <c r="G105" s="8" t="str">
        <f>IF(TRIM(CLEAN(Raw_Data!F105))="","Not Provided",LOWER(TRIM(CLEAN(Raw_Data!F105))))</f>
        <v>hussein.nasser49@outlook.com</v>
      </c>
      <c r="H105" s="8" t="str">
        <f>IF(TRIM(CLEAN(Raw_Data!G105))="","Not Provided",PROPER(TRIM(CLEAN(Raw_Data!G105))))</f>
        <v>Giza</v>
      </c>
      <c r="I105" s="8" t="str">
        <f>IF(TRIM(CLEAN(Raw_Data!H105))="","Not Provided",PROPER(TRIM(CLEAN(Raw_Data!H105))))</f>
        <v>Greater Cairo</v>
      </c>
      <c r="J105" s="8" t="str">
        <f>IF(OR(PROPER(TRIM(CLEAN(Raw_Data!I105)))="Bronze",PROPER(TRIM(CLEAN(Raw_Data!I105)))="Silver",PROPER(TRIM(CLEAN(Raw_Data!I105)))="Gold"),PROPER(TRIM(CLEAN(Raw_Data!I105))),"Unknown")</f>
        <v>Bronze</v>
      </c>
      <c r="K105" s="11">
        <f>IF(ISNUMBER(Raw_Data!J105),Raw_Data!J105,IFERROR(DATEVALUE(Raw_Data!J105),""))</f>
        <v>44447</v>
      </c>
      <c r="L105" s="8" t="str">
        <f t="shared" si="18"/>
        <v>outlook.com</v>
      </c>
      <c r="M105" s="8" t="str">
        <f t="shared" si="19"/>
        <v>CUS</v>
      </c>
      <c r="N105" s="8" t="str">
        <f t="shared" si="20"/>
        <v>00252</v>
      </c>
      <c r="O105" s="8" t="str">
        <f t="shared" si="21"/>
        <v>5321</v>
      </c>
      <c r="P105" s="8" t="str">
        <f t="shared" si="22"/>
        <v>Hussein Nasser - Bronze</v>
      </c>
      <c r="Q105" s="12" t="str">
        <f>IF(B105="","Remove - missing ID",IF(OR(E105="",K105=""),"Remove - invalid date",IF(COUNTIF($B$2:B105,B105)&gt;1,"Remove - duplicate ID","Keep")))</f>
        <v>Keep</v>
      </c>
      <c r="R105" s="8" t="str">
        <f t="shared" si="23"/>
        <v>Yes</v>
      </c>
    </row>
    <row r="106" spans="1:18" x14ac:dyDescent="0.25">
      <c r="A106" s="8">
        <f>ROW(Raw_Data!A106)</f>
        <v>106</v>
      </c>
      <c r="B106" s="8" t="str">
        <f>TRIM(CLEAN(Raw_Data!A106))</f>
        <v>CUS01117</v>
      </c>
      <c r="C106" s="8" t="str">
        <f>IF(TRIM(CLEAN(Raw_Data!B106))="","Not Provided",PROPER(TRIM(CLEAN(Raw_Data!B106))))</f>
        <v>Reham Ragab</v>
      </c>
      <c r="D106" s="8" t="str">
        <f>IF(OR(PROPER(TRIM(CLEAN(Raw_Data!C106)))="Male",PROPER(TRIM(CLEAN(Raw_Data!C106)))="Female"),PROPER(TRIM(CLEAN(Raw_Data!C106))),"Unknown")</f>
        <v>Female</v>
      </c>
      <c r="E106" s="11">
        <f>IF(ISNUMBER(Raw_Data!D106),Raw_Data!D106,IFERROR(DATEVALUE(Raw_Data!D106),""))</f>
        <v>28595</v>
      </c>
      <c r="F106" s="8" t="str">
        <f>IF(TRIM(CLEAN(Raw_Data!E106))="","Not Provided",TRIM(CLEAN(Raw_Data!E106)))</f>
        <v>1117890314</v>
      </c>
      <c r="G106" s="8" t="str">
        <f>IF(TRIM(CLEAN(Raw_Data!F106))="","Not Provided",LOWER(TRIM(CLEAN(Raw_Data!F106))))</f>
        <v>reham.ragab4@yahoo.com</v>
      </c>
      <c r="H106" s="8" t="str">
        <f>IF(TRIM(CLEAN(Raw_Data!G106))="","Not Provided",PROPER(TRIM(CLEAN(Raw_Data!G106))))</f>
        <v>Cairo</v>
      </c>
      <c r="I106" s="8" t="str">
        <f>IF(TRIM(CLEAN(Raw_Data!H106))="","Not Provided",PROPER(TRIM(CLEAN(Raw_Data!H106))))</f>
        <v>Greater Cairo</v>
      </c>
      <c r="J106" s="8" t="str">
        <f>IF(OR(PROPER(TRIM(CLEAN(Raw_Data!I106)))="Bronze",PROPER(TRIM(CLEAN(Raw_Data!I106)))="Silver",PROPER(TRIM(CLEAN(Raw_Data!I106)))="Gold"),PROPER(TRIM(CLEAN(Raw_Data!I106))),"Unknown")</f>
        <v>Unknown</v>
      </c>
      <c r="K106" s="11">
        <f>IF(ISNUMBER(Raw_Data!J106),Raw_Data!J106,IFERROR(DATEVALUE(Raw_Data!J106),""))</f>
        <v>45248</v>
      </c>
      <c r="L106" s="8" t="str">
        <f t="shared" si="18"/>
        <v>yahoo.com</v>
      </c>
      <c r="M106" s="8" t="str">
        <f t="shared" si="19"/>
        <v>CUS</v>
      </c>
      <c r="N106" s="8" t="str">
        <f t="shared" si="20"/>
        <v>01117</v>
      </c>
      <c r="O106" s="8" t="str">
        <f t="shared" si="21"/>
        <v>0314</v>
      </c>
      <c r="P106" s="8" t="str">
        <f t="shared" si="22"/>
        <v>Reham Ragab - Unknown</v>
      </c>
      <c r="Q106" s="12" t="str">
        <f>IF(B106="","Remove - missing ID",IF(OR(E106="",K106=""),"Remove - invalid date",IF(COUNTIF($B$2:B106,B106)&gt;1,"Remove - duplicate ID","Keep")))</f>
        <v>Keep</v>
      </c>
      <c r="R106" s="8" t="str">
        <f t="shared" si="23"/>
        <v>Yes</v>
      </c>
    </row>
    <row r="107" spans="1:18" x14ac:dyDescent="0.25">
      <c r="A107" s="8">
        <f>ROW(Raw_Data!A107)</f>
        <v>107</v>
      </c>
      <c r="B107" s="8" t="str">
        <f>TRIM(CLEAN(Raw_Data!A107))</f>
        <v>CUS01878</v>
      </c>
      <c r="C107" s="8" t="str">
        <f>IF(TRIM(CLEAN(Raw_Data!B107))="","Not Provided",PROPER(TRIM(CLEAN(Raw_Data!B107))))</f>
        <v>Mahmoud Lotfy</v>
      </c>
      <c r="D107" s="8" t="str">
        <f>IF(OR(PROPER(TRIM(CLEAN(Raw_Data!C107)))="Male",PROPER(TRIM(CLEAN(Raw_Data!C107)))="Female"),PROPER(TRIM(CLEAN(Raw_Data!C107))),"Unknown")</f>
        <v>Male</v>
      </c>
      <c r="E107" s="11">
        <f>IF(ISNUMBER(Raw_Data!D107),Raw_Data!D107,IFERROR(DATEVALUE(Raw_Data!D107),""))</f>
        <v>37706</v>
      </c>
      <c r="F107" s="8" t="str">
        <f>IF(TRIM(CLEAN(Raw_Data!E107))="","Not Provided",TRIM(CLEAN(Raw_Data!E107)))</f>
        <v>1050393690</v>
      </c>
      <c r="G107" s="8" t="str">
        <f>IF(TRIM(CLEAN(Raw_Data!F107))="","Not Provided",LOWER(TRIM(CLEAN(Raw_Data!F107))))</f>
        <v>mahmoud.lotfy8@hotmail.com</v>
      </c>
      <c r="H107" s="8" t="str">
        <f>IF(TRIM(CLEAN(Raw_Data!G107))="","Not Provided",PROPER(TRIM(CLEAN(Raw_Data!G107))))</f>
        <v>Alexandria</v>
      </c>
      <c r="I107" s="8" t="str">
        <f>IF(TRIM(CLEAN(Raw_Data!H107))="","Not Provided",PROPER(TRIM(CLEAN(Raw_Data!H107))))</f>
        <v>Alexandria</v>
      </c>
      <c r="J107" s="8" t="str">
        <f>IF(OR(PROPER(TRIM(CLEAN(Raw_Data!I107)))="Bronze",PROPER(TRIM(CLEAN(Raw_Data!I107)))="Silver",PROPER(TRIM(CLEAN(Raw_Data!I107)))="Gold"),PROPER(TRIM(CLEAN(Raw_Data!I107))),"Unknown")</f>
        <v>Silver</v>
      </c>
      <c r="K107" s="11">
        <f>IF(ISNUMBER(Raw_Data!J107),Raw_Data!J107,IFERROR(DATEVALUE(Raw_Data!J107),""))</f>
        <v>44814</v>
      </c>
      <c r="L107" s="8" t="str">
        <f t="shared" si="18"/>
        <v>hotmail.com</v>
      </c>
      <c r="M107" s="8" t="str">
        <f t="shared" si="19"/>
        <v>CUS</v>
      </c>
      <c r="N107" s="8" t="str">
        <f t="shared" si="20"/>
        <v>01878</v>
      </c>
      <c r="O107" s="8" t="str">
        <f t="shared" si="21"/>
        <v>3690</v>
      </c>
      <c r="P107" s="8" t="str">
        <f t="shared" si="22"/>
        <v>Mahmoud Lotfy - Silver</v>
      </c>
      <c r="Q107" s="12" t="str">
        <f>IF(B107="","Remove - missing ID",IF(OR(E107="",K107=""),"Remove - invalid date",IF(COUNTIF($B$2:B107,B107)&gt;1,"Remove - duplicate ID","Keep")))</f>
        <v>Keep</v>
      </c>
      <c r="R107" s="8" t="str">
        <f t="shared" si="23"/>
        <v>Yes</v>
      </c>
    </row>
    <row r="108" spans="1:18" x14ac:dyDescent="0.25">
      <c r="A108" s="8">
        <f>ROW(Raw_Data!A108)</f>
        <v>108</v>
      </c>
      <c r="B108" s="8" t="str">
        <f>TRIM(CLEAN(Raw_Data!A108))</f>
        <v>CUS02523</v>
      </c>
      <c r="C108" s="8" t="str">
        <f>IF(TRIM(CLEAN(Raw_Data!B108))="","Not Provided",PROPER(TRIM(CLEAN(Raw_Data!B108))))</f>
        <v>Ahmed Ramadan</v>
      </c>
      <c r="D108" s="8" t="str">
        <f>IF(OR(PROPER(TRIM(CLEAN(Raw_Data!C108)))="Male",PROPER(TRIM(CLEAN(Raw_Data!C108)))="Female"),PROPER(TRIM(CLEAN(Raw_Data!C108))),"Unknown")</f>
        <v>Male</v>
      </c>
      <c r="E108" s="11">
        <f>IF(ISNUMBER(Raw_Data!D108),Raw_Data!D108,IFERROR(DATEVALUE(Raw_Data!D108),""))</f>
        <v>30672</v>
      </c>
      <c r="F108" s="8" t="str">
        <f>IF(TRIM(CLEAN(Raw_Data!E108))="","Not Provided",TRIM(CLEAN(Raw_Data!E108)))</f>
        <v>1140694296</v>
      </c>
      <c r="G108" s="8" t="str">
        <f>IF(TRIM(CLEAN(Raw_Data!F108))="","Not Provided",LOWER(TRIM(CLEAN(Raw_Data!F108))))</f>
        <v>ahmed.ramadan91@yahoo.com</v>
      </c>
      <c r="H108" s="8" t="str">
        <f>IF(TRIM(CLEAN(Raw_Data!G108))="","Not Provided",PROPER(TRIM(CLEAN(Raw_Data!G108))))</f>
        <v>Giza</v>
      </c>
      <c r="I108" s="8" t="str">
        <f>IF(TRIM(CLEAN(Raw_Data!H108))="","Not Provided",PROPER(TRIM(CLEAN(Raw_Data!H108))))</f>
        <v>Greater Cairo</v>
      </c>
      <c r="J108" s="8" t="str">
        <f>IF(OR(PROPER(TRIM(CLEAN(Raw_Data!I108)))="Bronze",PROPER(TRIM(CLEAN(Raw_Data!I108)))="Silver",PROPER(TRIM(CLEAN(Raw_Data!I108)))="Gold"),PROPER(TRIM(CLEAN(Raw_Data!I108))),"Unknown")</f>
        <v>Unknown</v>
      </c>
      <c r="K108" s="11">
        <f>IF(ISNUMBER(Raw_Data!J108),Raw_Data!J108,IFERROR(DATEVALUE(Raw_Data!J108),""))</f>
        <v>44996</v>
      </c>
      <c r="L108" s="8" t="str">
        <f t="shared" si="18"/>
        <v>yahoo.com</v>
      </c>
      <c r="M108" s="8" t="str">
        <f t="shared" si="19"/>
        <v>CUS</v>
      </c>
      <c r="N108" s="8" t="str">
        <f t="shared" si="20"/>
        <v>02523</v>
      </c>
      <c r="O108" s="8" t="str">
        <f t="shared" si="21"/>
        <v>4296</v>
      </c>
      <c r="P108" s="8" t="str">
        <f t="shared" si="22"/>
        <v>Ahmed Ramadan - Unknown</v>
      </c>
      <c r="Q108" s="12" t="str">
        <f>IF(B108="","Remove - missing ID",IF(OR(E108="",K108=""),"Remove - invalid date",IF(COUNTIF($B$2:B108,B108)&gt;1,"Remove - duplicate ID","Keep")))</f>
        <v>Keep</v>
      </c>
      <c r="R108" s="8" t="str">
        <f t="shared" si="23"/>
        <v>Yes</v>
      </c>
    </row>
    <row r="109" spans="1:18" x14ac:dyDescent="0.25">
      <c r="A109" s="8">
        <f>ROW(Raw_Data!A109)</f>
        <v>109</v>
      </c>
      <c r="B109" s="8" t="str">
        <f>TRIM(CLEAN(Raw_Data!A109))</f>
        <v>CUS00212</v>
      </c>
      <c r="C109" s="8" t="str">
        <f>IF(TRIM(CLEAN(Raw_Data!B109))="","Not Provided",PROPER(TRIM(CLEAN(Raw_Data!B109))))</f>
        <v>Ayman Shaaban</v>
      </c>
      <c r="D109" s="8" t="str">
        <f>IF(OR(PROPER(TRIM(CLEAN(Raw_Data!C109)))="Male",PROPER(TRIM(CLEAN(Raw_Data!C109)))="Female"),PROPER(TRIM(CLEAN(Raw_Data!C109))),"Unknown")</f>
        <v>Male</v>
      </c>
      <c r="E109" s="11">
        <f>IF(ISNUMBER(Raw_Data!D109),Raw_Data!D109,IFERROR(DATEVALUE(Raw_Data!D109),""))</f>
        <v>27280</v>
      </c>
      <c r="F109" s="8" t="str">
        <f>IF(TRIM(CLEAN(Raw_Data!E109))="","Not Provided",TRIM(CLEAN(Raw_Data!E109)))</f>
        <v>1061596498</v>
      </c>
      <c r="G109" s="8" t="str">
        <f>IF(TRIM(CLEAN(Raw_Data!F109))="","Not Provided",LOWER(TRIM(CLEAN(Raw_Data!F109))))</f>
        <v>ayman.shaaban46@hotmail.com</v>
      </c>
      <c r="H109" s="8" t="str">
        <f>IF(TRIM(CLEAN(Raw_Data!G109))="","Not Provided",PROPER(TRIM(CLEAN(Raw_Data!G109))))</f>
        <v>Tanta</v>
      </c>
      <c r="I109" s="8" t="str">
        <f>IF(TRIM(CLEAN(Raw_Data!H109))="","Not Provided",PROPER(TRIM(CLEAN(Raw_Data!H109))))</f>
        <v>Nile Delta</v>
      </c>
      <c r="J109" s="8" t="str">
        <f>IF(OR(PROPER(TRIM(CLEAN(Raw_Data!I109)))="Bronze",PROPER(TRIM(CLEAN(Raw_Data!I109)))="Silver",PROPER(TRIM(CLEAN(Raw_Data!I109)))="Gold"),PROPER(TRIM(CLEAN(Raw_Data!I109))),"Unknown")</f>
        <v>Silver</v>
      </c>
      <c r="K109" s="11">
        <f>IF(ISNUMBER(Raw_Data!J109),Raw_Data!J109,IFERROR(DATEVALUE(Raw_Data!J109),""))</f>
        <v>44744</v>
      </c>
      <c r="L109" s="8" t="str">
        <f t="shared" si="18"/>
        <v>hotmail.com</v>
      </c>
      <c r="M109" s="8" t="str">
        <f t="shared" si="19"/>
        <v>CUS</v>
      </c>
      <c r="N109" s="8" t="str">
        <f t="shared" si="20"/>
        <v>00212</v>
      </c>
      <c r="O109" s="8" t="str">
        <f t="shared" si="21"/>
        <v>6498</v>
      </c>
      <c r="P109" s="8" t="str">
        <f t="shared" si="22"/>
        <v>Ayman Shaaban - Silver</v>
      </c>
      <c r="Q109" s="12" t="str">
        <f>IF(B109="","Remove - missing ID",IF(OR(E109="",K109=""),"Remove - invalid date",IF(COUNTIF($B$2:B109,B109)&gt;1,"Remove - duplicate ID","Keep")))</f>
        <v>Keep</v>
      </c>
      <c r="R109" s="8" t="str">
        <f t="shared" si="23"/>
        <v>Yes</v>
      </c>
    </row>
    <row r="110" spans="1:18" x14ac:dyDescent="0.25">
      <c r="A110" s="8">
        <f>ROW(Raw_Data!A110)</f>
        <v>110</v>
      </c>
      <c r="B110" s="8" t="str">
        <f>TRIM(CLEAN(Raw_Data!A110))</f>
        <v>CUS00001</v>
      </c>
      <c r="C110" s="8" t="str">
        <f>IF(TRIM(CLEAN(Raw_Data!B110))="","Not Provided",PROPER(TRIM(CLEAN(Raw_Data!B110))))</f>
        <v>Manar Hamdy</v>
      </c>
      <c r="D110" s="8" t="str">
        <f>IF(OR(PROPER(TRIM(CLEAN(Raw_Data!C110)))="Male",PROPER(TRIM(CLEAN(Raw_Data!C110)))="Female"),PROPER(TRIM(CLEAN(Raw_Data!C110))),"Unknown")</f>
        <v>Female</v>
      </c>
      <c r="E110" s="11">
        <f>IF(ISNUMBER(Raw_Data!D110),Raw_Data!D110,IFERROR(DATEVALUE(Raw_Data!D110),""))</f>
        <v>28405</v>
      </c>
      <c r="F110" s="8" t="str">
        <f>IF(TRIM(CLEAN(Raw_Data!E110))="","Not Provided",TRIM(CLEAN(Raw_Data!E110)))</f>
        <v>1283233096</v>
      </c>
      <c r="G110" s="8" t="str">
        <f>IF(TRIM(CLEAN(Raw_Data!F110))="","Not Provided",LOWER(TRIM(CLEAN(Raw_Data!F110))))</f>
        <v>manar.hamdy91@yahoo.com</v>
      </c>
      <c r="H110" s="8" t="str">
        <f>IF(TRIM(CLEAN(Raw_Data!G110))="","Not Provided",PROPER(TRIM(CLEAN(Raw_Data!G110))))</f>
        <v>Giza</v>
      </c>
      <c r="I110" s="8" t="str">
        <f>IF(TRIM(CLEAN(Raw_Data!H110))="","Not Provided",PROPER(TRIM(CLEAN(Raw_Data!H110))))</f>
        <v>Greater Cairo</v>
      </c>
      <c r="J110" s="8" t="str">
        <f>IF(OR(PROPER(TRIM(CLEAN(Raw_Data!I110)))="Bronze",PROPER(TRIM(CLEAN(Raw_Data!I110)))="Silver",PROPER(TRIM(CLEAN(Raw_Data!I110)))="Gold"),PROPER(TRIM(CLEAN(Raw_Data!I110))),"Unknown")</f>
        <v>Silver</v>
      </c>
      <c r="K110" s="11">
        <f>IF(ISNUMBER(Raw_Data!J110),Raw_Data!J110,IFERROR(DATEVALUE(Raw_Data!J110),""))</f>
        <v>45073</v>
      </c>
      <c r="L110" s="8" t="str">
        <f t="shared" si="18"/>
        <v>yahoo.com</v>
      </c>
      <c r="M110" s="8" t="str">
        <f t="shared" si="19"/>
        <v>CUS</v>
      </c>
      <c r="N110" s="8" t="str">
        <f t="shared" si="20"/>
        <v>00001</v>
      </c>
      <c r="O110" s="8" t="str">
        <f t="shared" si="21"/>
        <v>3096</v>
      </c>
      <c r="P110" s="8" t="str">
        <f t="shared" si="22"/>
        <v>Manar Hamdy - Silver</v>
      </c>
      <c r="Q110" s="12" t="str">
        <f>IF(B110="","Remove - missing ID",IF(OR(E110="",K110=""),"Remove - invalid date",IF(COUNTIF($B$2:B110,B110)&gt;1,"Remove - duplicate ID","Keep")))</f>
        <v>Keep</v>
      </c>
      <c r="R110" s="8" t="str">
        <f t="shared" si="23"/>
        <v>Yes</v>
      </c>
    </row>
    <row r="111" spans="1:18" x14ac:dyDescent="0.25">
      <c r="A111" s="8">
        <f>ROW(Raw_Data!A111)</f>
        <v>111</v>
      </c>
      <c r="B111" s="8" t="str">
        <f>TRIM(CLEAN(Raw_Data!A111))</f>
        <v>CUS01477</v>
      </c>
      <c r="C111" s="8" t="str">
        <f>IF(TRIM(CLEAN(Raw_Data!B111))="","Not Provided",PROPER(TRIM(CLEAN(Raw_Data!B111))))</f>
        <v>Dina Ibrahim</v>
      </c>
      <c r="D111" s="8" t="str">
        <f>IF(OR(PROPER(TRIM(CLEAN(Raw_Data!C111)))="Male",PROPER(TRIM(CLEAN(Raw_Data!C111)))="Female"),PROPER(TRIM(CLEAN(Raw_Data!C111))),"Unknown")</f>
        <v>Female</v>
      </c>
      <c r="E111" s="11">
        <f>IF(ISNUMBER(Raw_Data!D111),Raw_Data!D111,IFERROR(DATEVALUE(Raw_Data!D111),""))</f>
        <v>30246</v>
      </c>
      <c r="F111" s="8" t="str">
        <f>IF(TRIM(CLEAN(Raw_Data!E111))="","Not Provided",TRIM(CLEAN(Raw_Data!E111)))</f>
        <v>1093364164</v>
      </c>
      <c r="G111" s="8" t="str">
        <f>IF(TRIM(CLEAN(Raw_Data!F111))="","Not Provided",LOWER(TRIM(CLEAN(Raw_Data!F111))))</f>
        <v>dina.ibrahim81@yahoo.com</v>
      </c>
      <c r="H111" s="8" t="str">
        <f>IF(TRIM(CLEAN(Raw_Data!G111))="","Not Provided",PROPER(TRIM(CLEAN(Raw_Data!G111))))</f>
        <v>Hurghada</v>
      </c>
      <c r="I111" s="8" t="str">
        <f>IF(TRIM(CLEAN(Raw_Data!H111))="","Not Provided",PROPER(TRIM(CLEAN(Raw_Data!H111))))</f>
        <v>Red Sea</v>
      </c>
      <c r="J111" s="8" t="str">
        <f>IF(OR(PROPER(TRIM(CLEAN(Raw_Data!I111)))="Bronze",PROPER(TRIM(CLEAN(Raw_Data!I111)))="Silver",PROPER(TRIM(CLEAN(Raw_Data!I111)))="Gold"),PROPER(TRIM(CLEAN(Raw_Data!I111))),"Unknown")</f>
        <v>Bronze</v>
      </c>
      <c r="K111" s="11">
        <f>IF(ISNUMBER(Raw_Data!J111),Raw_Data!J111,IFERROR(DATEVALUE(Raw_Data!J111),""))</f>
        <v>44574</v>
      </c>
      <c r="L111" s="8" t="str">
        <f t="shared" si="18"/>
        <v>yahoo.com</v>
      </c>
      <c r="M111" s="8" t="str">
        <f t="shared" si="19"/>
        <v>CUS</v>
      </c>
      <c r="N111" s="8" t="str">
        <f t="shared" si="20"/>
        <v>01477</v>
      </c>
      <c r="O111" s="8" t="str">
        <f t="shared" si="21"/>
        <v>4164</v>
      </c>
      <c r="P111" s="8" t="str">
        <f t="shared" si="22"/>
        <v>Dina Ibrahim - Bronze</v>
      </c>
      <c r="Q111" s="12" t="str">
        <f>IF(B111="","Remove - missing ID",IF(OR(E111="",K111=""),"Remove - invalid date",IF(COUNTIF($B$2:B111,B111)&gt;1,"Remove - duplicate ID","Keep")))</f>
        <v>Keep</v>
      </c>
      <c r="R111" s="8" t="str">
        <f t="shared" si="23"/>
        <v>Yes</v>
      </c>
    </row>
    <row r="112" spans="1:18" x14ac:dyDescent="0.25">
      <c r="A112" s="8">
        <f>ROW(Raw_Data!A112)</f>
        <v>112</v>
      </c>
      <c r="B112" s="8" t="str">
        <f>TRIM(CLEAN(Raw_Data!A112))</f>
        <v>CUS01554</v>
      </c>
      <c r="C112" s="8" t="str">
        <f>IF(TRIM(CLEAN(Raw_Data!B112))="","Not Provided",PROPER(TRIM(CLEAN(Raw_Data!B112))))</f>
        <v>Youssef Ibrahim</v>
      </c>
      <c r="D112" s="8" t="str">
        <f>IF(OR(PROPER(TRIM(CLEAN(Raw_Data!C112)))="Male",PROPER(TRIM(CLEAN(Raw_Data!C112)))="Female"),PROPER(TRIM(CLEAN(Raw_Data!C112))),"Unknown")</f>
        <v>Male</v>
      </c>
      <c r="E112" s="11">
        <f>IF(ISNUMBER(Raw_Data!D112),Raw_Data!D112,IFERROR(DATEVALUE(Raw_Data!D112),""))</f>
        <v>31738</v>
      </c>
      <c r="F112" s="8" t="str">
        <f>IF(TRIM(CLEAN(Raw_Data!E112))="","Not Provided",TRIM(CLEAN(Raw_Data!E112)))</f>
        <v>1053254525</v>
      </c>
      <c r="G112" s="8" t="str">
        <f>IF(TRIM(CLEAN(Raw_Data!F112))="","Not Provided",LOWER(TRIM(CLEAN(Raw_Data!F112))))</f>
        <v>Not Provided</v>
      </c>
      <c r="H112" s="8" t="str">
        <f>IF(TRIM(CLEAN(Raw_Data!G112))="","Not Provided",PROPER(TRIM(CLEAN(Raw_Data!G112))))</f>
        <v>Suez</v>
      </c>
      <c r="I112" s="8" t="str">
        <f>IF(TRIM(CLEAN(Raw_Data!H112))="","Not Provided",PROPER(TRIM(CLEAN(Raw_Data!H112))))</f>
        <v>Canal Zone</v>
      </c>
      <c r="J112" s="8" t="str">
        <f>IF(OR(PROPER(TRIM(CLEAN(Raw_Data!I112)))="Bronze",PROPER(TRIM(CLEAN(Raw_Data!I112)))="Silver",PROPER(TRIM(CLEAN(Raw_Data!I112)))="Gold"),PROPER(TRIM(CLEAN(Raw_Data!I112))),"Unknown")</f>
        <v>Silver</v>
      </c>
      <c r="K112" s="11">
        <f>IF(ISNUMBER(Raw_Data!J112),Raw_Data!J112,IFERROR(DATEVALUE(Raw_Data!J112),""))</f>
        <v>45248</v>
      </c>
      <c r="L112" s="8" t="str">
        <f t="shared" si="18"/>
        <v/>
      </c>
      <c r="M112" s="8" t="str">
        <f t="shared" si="19"/>
        <v>CUS</v>
      </c>
      <c r="N112" s="8" t="str">
        <f t="shared" si="20"/>
        <v>01554</v>
      </c>
      <c r="O112" s="8" t="str">
        <f t="shared" si="21"/>
        <v>4525</v>
      </c>
      <c r="P112" s="8" t="str">
        <f t="shared" si="22"/>
        <v>Youssef Ibrahim - Silver</v>
      </c>
      <c r="Q112" s="12" t="str">
        <f>IF(B112="","Remove - missing ID",IF(OR(E112="",K112=""),"Remove - invalid date",IF(COUNTIF($B$2:B112,B112)&gt;1,"Remove - duplicate ID","Keep")))</f>
        <v>Keep</v>
      </c>
      <c r="R112" s="8" t="str">
        <f t="shared" si="23"/>
        <v>Yes</v>
      </c>
    </row>
    <row r="113" spans="1:18" x14ac:dyDescent="0.25">
      <c r="A113" s="8">
        <f>ROW(Raw_Data!A113)</f>
        <v>113</v>
      </c>
      <c r="B113" s="8" t="str">
        <f>TRIM(CLEAN(Raw_Data!A113))</f>
        <v>CUS01296</v>
      </c>
      <c r="C113" s="8" t="str">
        <f>IF(TRIM(CLEAN(Raw_Data!B113))="","Not Provided",PROPER(TRIM(CLEAN(Raw_Data!B113))))</f>
        <v>Salma Barakat</v>
      </c>
      <c r="D113" s="8" t="str">
        <f>IF(OR(PROPER(TRIM(CLEAN(Raw_Data!C113)))="Male",PROPER(TRIM(CLEAN(Raw_Data!C113)))="Female"),PROPER(TRIM(CLEAN(Raw_Data!C113))),"Unknown")</f>
        <v>Female</v>
      </c>
      <c r="E113" s="11">
        <f>IF(ISNUMBER(Raw_Data!D113),Raw_Data!D113,IFERROR(DATEVALUE(Raw_Data!D113),""))</f>
        <v>32138</v>
      </c>
      <c r="F113" s="8" t="str">
        <f>IF(TRIM(CLEAN(Raw_Data!E113))="","Not Provided",TRIM(CLEAN(Raw_Data!E113)))</f>
        <v>1145353959</v>
      </c>
      <c r="G113" s="8" t="str">
        <f>IF(TRIM(CLEAN(Raw_Data!F113))="","Not Provided",LOWER(TRIM(CLEAN(Raw_Data!F113))))</f>
        <v>salma.barakat10@hotmail.com</v>
      </c>
      <c r="H113" s="8" t="str">
        <f>IF(TRIM(CLEAN(Raw_Data!G113))="","Not Provided",PROPER(TRIM(CLEAN(Raw_Data!G113))))</f>
        <v>Cairo</v>
      </c>
      <c r="I113" s="8" t="str">
        <f>IF(TRIM(CLEAN(Raw_Data!H113))="","Not Provided",PROPER(TRIM(CLEAN(Raw_Data!H113))))</f>
        <v>Greater Cairo</v>
      </c>
      <c r="J113" s="8" t="str">
        <f>IF(OR(PROPER(TRIM(CLEAN(Raw_Data!I113)))="Bronze",PROPER(TRIM(CLEAN(Raw_Data!I113)))="Silver",PROPER(TRIM(CLEAN(Raw_Data!I113)))="Gold"),PROPER(TRIM(CLEAN(Raw_Data!I113))),"Unknown")</f>
        <v>Unknown</v>
      </c>
      <c r="K113" s="11">
        <f>IF(ISNUMBER(Raw_Data!J113),Raw_Data!J113,IFERROR(DATEVALUE(Raw_Data!J113),""))</f>
        <v>43967</v>
      </c>
      <c r="L113" s="8" t="str">
        <f t="shared" si="18"/>
        <v>hotmail.com</v>
      </c>
      <c r="M113" s="8" t="str">
        <f t="shared" si="19"/>
        <v>CUS</v>
      </c>
      <c r="N113" s="8" t="str">
        <f t="shared" si="20"/>
        <v>01296</v>
      </c>
      <c r="O113" s="8" t="str">
        <f t="shared" si="21"/>
        <v>3959</v>
      </c>
      <c r="P113" s="8" t="str">
        <f t="shared" si="22"/>
        <v>Salma Barakat - Unknown</v>
      </c>
      <c r="Q113" s="12" t="str">
        <f>IF(B113="","Remove - missing ID",IF(OR(E113="",K113=""),"Remove - invalid date",IF(COUNTIF($B$2:B113,B113)&gt;1,"Remove - duplicate ID","Keep")))</f>
        <v>Keep</v>
      </c>
      <c r="R113" s="8" t="str">
        <f t="shared" si="23"/>
        <v>Yes</v>
      </c>
    </row>
    <row r="114" spans="1:18" x14ac:dyDescent="0.25">
      <c r="A114" s="8">
        <f>ROW(Raw_Data!A114)</f>
        <v>114</v>
      </c>
      <c r="B114" s="8" t="str">
        <f>TRIM(CLEAN(Raw_Data!A114))</f>
        <v>CUS00566</v>
      </c>
      <c r="C114" s="8" t="str">
        <f>IF(TRIM(CLEAN(Raw_Data!B114))="","Not Provided",PROPER(TRIM(CLEAN(Raw_Data!B114))))</f>
        <v>Ola Younis</v>
      </c>
      <c r="D114" s="8" t="str">
        <f>IF(OR(PROPER(TRIM(CLEAN(Raw_Data!C114)))="Male",PROPER(TRIM(CLEAN(Raw_Data!C114)))="Female"),PROPER(TRIM(CLEAN(Raw_Data!C114))),"Unknown")</f>
        <v>Female</v>
      </c>
      <c r="E114" s="11">
        <f>IF(ISNUMBER(Raw_Data!D114),Raw_Data!D114,IFERROR(DATEVALUE(Raw_Data!D114),""))</f>
        <v>30490</v>
      </c>
      <c r="F114" s="8" t="str">
        <f>IF(TRIM(CLEAN(Raw_Data!E114))="","Not Provided",TRIM(CLEAN(Raw_Data!E114)))</f>
        <v>1284036002</v>
      </c>
      <c r="G114" s="8" t="str">
        <f>IF(TRIM(CLEAN(Raw_Data!F114))="","Not Provided",LOWER(TRIM(CLEAN(Raw_Data!F114))))</f>
        <v>ola.younis34@yahoo.com</v>
      </c>
      <c r="H114" s="8" t="str">
        <f>IF(TRIM(CLEAN(Raw_Data!G114))="","Not Provided",PROPER(TRIM(CLEAN(Raw_Data!G114))))</f>
        <v>Alexandria</v>
      </c>
      <c r="I114" s="8" t="str">
        <f>IF(TRIM(CLEAN(Raw_Data!H114))="","Not Provided",PROPER(TRIM(CLEAN(Raw_Data!H114))))</f>
        <v>Alexandria</v>
      </c>
      <c r="J114" s="8" t="str">
        <f>IF(OR(PROPER(TRIM(CLEAN(Raw_Data!I114)))="Bronze",PROPER(TRIM(CLEAN(Raw_Data!I114)))="Silver",PROPER(TRIM(CLEAN(Raw_Data!I114)))="Gold"),PROPER(TRIM(CLEAN(Raw_Data!I114))),"Unknown")</f>
        <v>Gold</v>
      </c>
      <c r="K114" s="11">
        <f>IF(ISNUMBER(Raw_Data!J114),Raw_Data!J114,IFERROR(DATEVALUE(Raw_Data!J114),""))</f>
        <v>45048</v>
      </c>
      <c r="L114" s="8" t="str">
        <f t="shared" si="18"/>
        <v>yahoo.com</v>
      </c>
      <c r="M114" s="8" t="str">
        <f t="shared" si="19"/>
        <v>CUS</v>
      </c>
      <c r="N114" s="8" t="str">
        <f t="shared" si="20"/>
        <v>00566</v>
      </c>
      <c r="O114" s="8" t="str">
        <f t="shared" si="21"/>
        <v>6002</v>
      </c>
      <c r="P114" s="8" t="str">
        <f t="shared" si="22"/>
        <v>Ola Younis - Gold</v>
      </c>
      <c r="Q114" s="12" t="str">
        <f>IF(B114="","Remove - missing ID",IF(OR(E114="",K114=""),"Remove - invalid date",IF(COUNTIF($B$2:B114,B114)&gt;1,"Remove - duplicate ID","Keep")))</f>
        <v>Keep</v>
      </c>
      <c r="R114" s="8" t="str">
        <f t="shared" si="23"/>
        <v>Yes</v>
      </c>
    </row>
    <row r="115" spans="1:18" x14ac:dyDescent="0.25">
      <c r="A115" s="8">
        <f>ROW(Raw_Data!A115)</f>
        <v>115</v>
      </c>
      <c r="B115" s="8" t="str">
        <f>TRIM(CLEAN(Raw_Data!A115))</f>
        <v>CUS01235</v>
      </c>
      <c r="C115" s="8" t="str">
        <f>IF(TRIM(CLEAN(Raw_Data!B115))="","Not Provided",PROPER(TRIM(CLEAN(Raw_Data!B115))))</f>
        <v>Reham Hassan</v>
      </c>
      <c r="D115" s="8" t="str">
        <f>IF(OR(PROPER(TRIM(CLEAN(Raw_Data!C115)))="Male",PROPER(TRIM(CLEAN(Raw_Data!C115)))="Female"),PROPER(TRIM(CLEAN(Raw_Data!C115))),"Unknown")</f>
        <v>Female</v>
      </c>
      <c r="E115" s="11">
        <f>IF(ISNUMBER(Raw_Data!D115),Raw_Data!D115,IFERROR(DATEVALUE(Raw_Data!D115),""))</f>
        <v>33773</v>
      </c>
      <c r="F115" s="8" t="str">
        <f>IF(TRIM(CLEAN(Raw_Data!E115))="","Not Provided",TRIM(CLEAN(Raw_Data!E115)))</f>
        <v>1220610410</v>
      </c>
      <c r="G115" s="8" t="str">
        <f>IF(TRIM(CLEAN(Raw_Data!F115))="","Not Provided",LOWER(TRIM(CLEAN(Raw_Data!F115))))</f>
        <v>reham.hassan34@hotmail.com</v>
      </c>
      <c r="H115" s="8" t="str">
        <f>IF(TRIM(CLEAN(Raw_Data!G115))="","Not Provided",PROPER(TRIM(CLEAN(Raw_Data!G115))))</f>
        <v>Mansoura</v>
      </c>
      <c r="I115" s="8" t="str">
        <f>IF(TRIM(CLEAN(Raw_Data!H115))="","Not Provided",PROPER(TRIM(CLEAN(Raw_Data!H115))))</f>
        <v>Nile Delta</v>
      </c>
      <c r="J115" s="8" t="str">
        <f>IF(OR(PROPER(TRIM(CLEAN(Raw_Data!I115)))="Bronze",PROPER(TRIM(CLEAN(Raw_Data!I115)))="Silver",PROPER(TRIM(CLEAN(Raw_Data!I115)))="Gold"),PROPER(TRIM(CLEAN(Raw_Data!I115))),"Unknown")</f>
        <v>Bronze</v>
      </c>
      <c r="K115" s="11">
        <f>IF(ISNUMBER(Raw_Data!J115),Raw_Data!J115,IFERROR(DATEVALUE(Raw_Data!J115),""))</f>
        <v>45242</v>
      </c>
      <c r="L115" s="8" t="str">
        <f t="shared" si="18"/>
        <v>hotmail.com</v>
      </c>
      <c r="M115" s="8" t="str">
        <f t="shared" si="19"/>
        <v>CUS</v>
      </c>
      <c r="N115" s="8" t="str">
        <f t="shared" si="20"/>
        <v>01235</v>
      </c>
      <c r="O115" s="8" t="str">
        <f t="shared" si="21"/>
        <v>0410</v>
      </c>
      <c r="P115" s="8" t="str">
        <f t="shared" si="22"/>
        <v>Reham Hassan - Bronze</v>
      </c>
      <c r="Q115" s="12" t="str">
        <f>IF(B115="","Remove - missing ID",IF(OR(E115="",K115=""),"Remove - invalid date",IF(COUNTIF($B$2:B115,B115)&gt;1,"Remove - duplicate ID","Keep")))</f>
        <v>Keep</v>
      </c>
      <c r="R115" s="8" t="str">
        <f t="shared" si="23"/>
        <v>Yes</v>
      </c>
    </row>
    <row r="116" spans="1:18" x14ac:dyDescent="0.25">
      <c r="A116" s="8">
        <f>ROW(Raw_Data!A116)</f>
        <v>116</v>
      </c>
      <c r="B116" s="8" t="str">
        <f>TRIM(CLEAN(Raw_Data!A116))</f>
        <v>CUS01625</v>
      </c>
      <c r="C116" s="8" t="str">
        <f>IF(TRIM(CLEAN(Raw_Data!B116))="","Not Provided",PROPER(TRIM(CLEAN(Raw_Data!B116))))</f>
        <v>Emad Ragab</v>
      </c>
      <c r="D116" s="8" t="str">
        <f>IF(OR(PROPER(TRIM(CLEAN(Raw_Data!C116)))="Male",PROPER(TRIM(CLEAN(Raw_Data!C116)))="Female"),PROPER(TRIM(CLEAN(Raw_Data!C116))),"Unknown")</f>
        <v>Male</v>
      </c>
      <c r="E116" s="11">
        <f>IF(ISNUMBER(Raw_Data!D116),Raw_Data!D116,IFERROR(DATEVALUE(Raw_Data!D116),""))</f>
        <v>34410</v>
      </c>
      <c r="F116" s="8" t="str">
        <f>IF(TRIM(CLEAN(Raw_Data!E116))="","Not Provided",TRIM(CLEAN(Raw_Data!E116)))</f>
        <v>1276643230</v>
      </c>
      <c r="G116" s="8" t="str">
        <f>IF(TRIM(CLEAN(Raw_Data!F116))="","Not Provided",LOWER(TRIM(CLEAN(Raw_Data!F116))))</f>
        <v>emad.ragab21@yahoo.com</v>
      </c>
      <c r="H116" s="8" t="str">
        <f>IF(TRIM(CLEAN(Raw_Data!G116))="","Not Provided",PROPER(TRIM(CLEAN(Raw_Data!G116))))</f>
        <v>Cairo</v>
      </c>
      <c r="I116" s="8" t="str">
        <f>IF(TRIM(CLEAN(Raw_Data!H116))="","Not Provided",PROPER(TRIM(CLEAN(Raw_Data!H116))))</f>
        <v>Greater Cairo</v>
      </c>
      <c r="J116" s="8" t="str">
        <f>IF(OR(PROPER(TRIM(CLEAN(Raw_Data!I116)))="Bronze",PROPER(TRIM(CLEAN(Raw_Data!I116)))="Silver",PROPER(TRIM(CLEAN(Raw_Data!I116)))="Gold"),PROPER(TRIM(CLEAN(Raw_Data!I116))),"Unknown")</f>
        <v>Silver</v>
      </c>
      <c r="K116" s="11">
        <f>IF(ISNUMBER(Raw_Data!J116),Raw_Data!J116,IFERROR(DATEVALUE(Raw_Data!J116),""))</f>
        <v>44635</v>
      </c>
      <c r="L116" s="8" t="str">
        <f t="shared" si="18"/>
        <v>yahoo.com</v>
      </c>
      <c r="M116" s="8" t="str">
        <f t="shared" si="19"/>
        <v>CUS</v>
      </c>
      <c r="N116" s="8" t="str">
        <f t="shared" si="20"/>
        <v>01625</v>
      </c>
      <c r="O116" s="8" t="str">
        <f t="shared" si="21"/>
        <v>3230</v>
      </c>
      <c r="P116" s="8" t="str">
        <f t="shared" si="22"/>
        <v>Emad Ragab - Silver</v>
      </c>
      <c r="Q116" s="12" t="str">
        <f>IF(B116="","Remove - missing ID",IF(OR(E116="",K116=""),"Remove - invalid date",IF(COUNTIF($B$2:B116,B116)&gt;1,"Remove - duplicate ID","Keep")))</f>
        <v>Keep</v>
      </c>
      <c r="R116" s="8" t="str">
        <f t="shared" si="23"/>
        <v>Yes</v>
      </c>
    </row>
    <row r="117" spans="1:18" x14ac:dyDescent="0.25">
      <c r="A117" s="8">
        <f>ROW(Raw_Data!A117)</f>
        <v>117</v>
      </c>
      <c r="B117" s="8" t="str">
        <f>TRIM(CLEAN(Raw_Data!A117))</f>
        <v>CUS02915</v>
      </c>
      <c r="C117" s="8" t="str">
        <f>IF(TRIM(CLEAN(Raw_Data!B117))="","Not Provided",PROPER(TRIM(CLEAN(Raw_Data!B117))))</f>
        <v>Ashraf Gamal</v>
      </c>
      <c r="D117" s="8" t="str">
        <f>IF(OR(PROPER(TRIM(CLEAN(Raw_Data!C117)))="Male",PROPER(TRIM(CLEAN(Raw_Data!C117)))="Female"),PROPER(TRIM(CLEAN(Raw_Data!C117))),"Unknown")</f>
        <v>Male</v>
      </c>
      <c r="E117" s="11">
        <f>IF(ISNUMBER(Raw_Data!D117),Raw_Data!D117,IFERROR(DATEVALUE(Raw_Data!D117),""))</f>
        <v>36654</v>
      </c>
      <c r="F117" s="8" t="str">
        <f>IF(TRIM(CLEAN(Raw_Data!E117))="","Not Provided",TRIM(CLEAN(Raw_Data!E117)))</f>
        <v>1273724781</v>
      </c>
      <c r="G117" s="8" t="str">
        <f>IF(TRIM(CLEAN(Raw_Data!F117))="","Not Provided",LOWER(TRIM(CLEAN(Raw_Data!F117))))</f>
        <v>ashraf.gamal82@gmail.com</v>
      </c>
      <c r="H117" s="8" t="str">
        <f>IF(TRIM(CLEAN(Raw_Data!G117))="","Not Provided",PROPER(TRIM(CLEAN(Raw_Data!G117))))</f>
        <v>Cairo</v>
      </c>
      <c r="I117" s="8" t="str">
        <f>IF(TRIM(CLEAN(Raw_Data!H117))="","Not Provided",PROPER(TRIM(CLEAN(Raw_Data!H117))))</f>
        <v>Greater Cairo</v>
      </c>
      <c r="J117" s="8" t="str">
        <f>IF(OR(PROPER(TRIM(CLEAN(Raw_Data!I117)))="Bronze",PROPER(TRIM(CLEAN(Raw_Data!I117)))="Silver",PROPER(TRIM(CLEAN(Raw_Data!I117)))="Gold"),PROPER(TRIM(CLEAN(Raw_Data!I117))),"Unknown")</f>
        <v>Bronze</v>
      </c>
      <c r="K117" s="11">
        <f>IF(ISNUMBER(Raw_Data!J117),Raw_Data!J117,IFERROR(DATEVALUE(Raw_Data!J117),""))</f>
        <v>44729</v>
      </c>
      <c r="L117" s="8" t="str">
        <f t="shared" si="18"/>
        <v>gmail.com</v>
      </c>
      <c r="M117" s="8" t="str">
        <f t="shared" si="19"/>
        <v>CUS</v>
      </c>
      <c r="N117" s="8" t="str">
        <f t="shared" si="20"/>
        <v>02915</v>
      </c>
      <c r="O117" s="8" t="str">
        <f t="shared" si="21"/>
        <v>4781</v>
      </c>
      <c r="P117" s="8" t="str">
        <f t="shared" si="22"/>
        <v>Ashraf Gamal - Bronze</v>
      </c>
      <c r="Q117" s="12" t="str">
        <f>IF(B117="","Remove - missing ID",IF(OR(E117="",K117=""),"Remove - invalid date",IF(COUNTIF($B$2:B117,B117)&gt;1,"Remove - duplicate ID","Keep")))</f>
        <v>Keep</v>
      </c>
      <c r="R117" s="8" t="str">
        <f t="shared" si="23"/>
        <v>Yes</v>
      </c>
    </row>
    <row r="118" spans="1:18" x14ac:dyDescent="0.25">
      <c r="A118" s="8">
        <f>ROW(Raw_Data!A118)</f>
        <v>118</v>
      </c>
      <c r="B118" s="8" t="str">
        <f>TRIM(CLEAN(Raw_Data!A118))</f>
        <v>CUS00790</v>
      </c>
      <c r="C118" s="8" t="str">
        <f>IF(TRIM(CLEAN(Raw_Data!B118))="","Not Provided",PROPER(TRIM(CLEAN(Raw_Data!B118))))</f>
        <v>Walid Abdallah</v>
      </c>
      <c r="D118" s="8" t="str">
        <f>IF(OR(PROPER(TRIM(CLEAN(Raw_Data!C118)))="Male",PROPER(TRIM(CLEAN(Raw_Data!C118)))="Female"),PROPER(TRIM(CLEAN(Raw_Data!C118))),"Unknown")</f>
        <v>Male</v>
      </c>
      <c r="E118" s="11">
        <f>IF(ISNUMBER(Raw_Data!D118),Raw_Data!D118,IFERROR(DATEVALUE(Raw_Data!D118),""))</f>
        <v>30411</v>
      </c>
      <c r="F118" s="8" t="str">
        <f>IF(TRIM(CLEAN(Raw_Data!E118))="","Not Provided",TRIM(CLEAN(Raw_Data!E118)))</f>
        <v>1210378180</v>
      </c>
      <c r="G118" s="8" t="str">
        <f>IF(TRIM(CLEAN(Raw_Data!F118))="","Not Provided",LOWER(TRIM(CLEAN(Raw_Data!F118))))</f>
        <v>Not Provided</v>
      </c>
      <c r="H118" s="8" t="str">
        <f>IF(TRIM(CLEAN(Raw_Data!G118))="","Not Provided",PROPER(TRIM(CLEAN(Raw_Data!G118))))</f>
        <v>Port Said</v>
      </c>
      <c r="I118" s="8" t="str">
        <f>IF(TRIM(CLEAN(Raw_Data!H118))="","Not Provided",PROPER(TRIM(CLEAN(Raw_Data!H118))))</f>
        <v>Canal Zone</v>
      </c>
      <c r="J118" s="8" t="str">
        <f>IF(OR(PROPER(TRIM(CLEAN(Raw_Data!I118)))="Bronze",PROPER(TRIM(CLEAN(Raw_Data!I118)))="Silver",PROPER(TRIM(CLEAN(Raw_Data!I118)))="Gold"),PROPER(TRIM(CLEAN(Raw_Data!I118))),"Unknown")</f>
        <v>Bronze</v>
      </c>
      <c r="K118" s="11">
        <f>IF(ISNUMBER(Raw_Data!J118),Raw_Data!J118,IFERROR(DATEVALUE(Raw_Data!J118),""))</f>
        <v>43989</v>
      </c>
      <c r="L118" s="8" t="str">
        <f t="shared" si="18"/>
        <v/>
      </c>
      <c r="M118" s="8" t="str">
        <f t="shared" si="19"/>
        <v>CUS</v>
      </c>
      <c r="N118" s="8" t="str">
        <f t="shared" si="20"/>
        <v>00790</v>
      </c>
      <c r="O118" s="8" t="str">
        <f t="shared" si="21"/>
        <v>8180</v>
      </c>
      <c r="P118" s="8" t="str">
        <f t="shared" si="22"/>
        <v>Walid Abdallah - Bronze</v>
      </c>
      <c r="Q118" s="12" t="str">
        <f>IF(B118="","Remove - missing ID",IF(OR(E118="",K118=""),"Remove - invalid date",IF(COUNTIF($B$2:B118,B118)&gt;1,"Remove - duplicate ID","Keep")))</f>
        <v>Keep</v>
      </c>
      <c r="R118" s="8" t="str">
        <f t="shared" si="23"/>
        <v>Yes</v>
      </c>
    </row>
    <row r="119" spans="1:18" x14ac:dyDescent="0.25">
      <c r="A119" s="8">
        <f>ROW(Raw_Data!A119)</f>
        <v>119</v>
      </c>
      <c r="B119" s="8" t="str">
        <f>TRIM(CLEAN(Raw_Data!A119))</f>
        <v>CUS00813</v>
      </c>
      <c r="C119" s="8" t="str">
        <f>IF(TRIM(CLEAN(Raw_Data!B119))="","Not Provided",PROPER(TRIM(CLEAN(Raw_Data!B119))))</f>
        <v>Eman Barakat</v>
      </c>
      <c r="D119" s="8" t="str">
        <f>IF(OR(PROPER(TRIM(CLEAN(Raw_Data!C119)))="Male",PROPER(TRIM(CLEAN(Raw_Data!C119)))="Female"),PROPER(TRIM(CLEAN(Raw_Data!C119))),"Unknown")</f>
        <v>Female</v>
      </c>
      <c r="E119" s="11">
        <f>IF(ISNUMBER(Raw_Data!D119),Raw_Data!D119,IFERROR(DATEVALUE(Raw_Data!D119),""))</f>
        <v>29049</v>
      </c>
      <c r="F119" s="8" t="str">
        <f>IF(TRIM(CLEAN(Raw_Data!E119))="","Not Provided",TRIM(CLEAN(Raw_Data!E119)))</f>
        <v>1226501040</v>
      </c>
      <c r="G119" s="8" t="str">
        <f>IF(TRIM(CLEAN(Raw_Data!F119))="","Not Provided",LOWER(TRIM(CLEAN(Raw_Data!F119))))</f>
        <v>eman.barakat42@hotmail.com</v>
      </c>
      <c r="H119" s="8" t="str">
        <f>IF(TRIM(CLEAN(Raw_Data!G119))="","Not Provided",PROPER(TRIM(CLEAN(Raw_Data!G119))))</f>
        <v>Cairo</v>
      </c>
      <c r="I119" s="8" t="str">
        <f>IF(TRIM(CLEAN(Raw_Data!H119))="","Not Provided",PROPER(TRIM(CLEAN(Raw_Data!H119))))</f>
        <v>Greater Cairo</v>
      </c>
      <c r="J119" s="8" t="str">
        <f>IF(OR(PROPER(TRIM(CLEAN(Raw_Data!I119)))="Bronze",PROPER(TRIM(CLEAN(Raw_Data!I119)))="Silver",PROPER(TRIM(CLEAN(Raw_Data!I119)))="Gold"),PROPER(TRIM(CLEAN(Raw_Data!I119))),"Unknown")</f>
        <v>Gold</v>
      </c>
      <c r="K119" s="11">
        <f>IF(ISNUMBER(Raw_Data!J119),Raw_Data!J119,IFERROR(DATEVALUE(Raw_Data!J119),""))</f>
        <v>43992</v>
      </c>
      <c r="L119" s="8" t="str">
        <f t="shared" si="18"/>
        <v>hotmail.com</v>
      </c>
      <c r="M119" s="8" t="str">
        <f t="shared" si="19"/>
        <v>CUS</v>
      </c>
      <c r="N119" s="8" t="str">
        <f t="shared" si="20"/>
        <v>00813</v>
      </c>
      <c r="O119" s="8" t="str">
        <f t="shared" si="21"/>
        <v>1040</v>
      </c>
      <c r="P119" s="8" t="str">
        <f t="shared" si="22"/>
        <v>Eman Barakat - Gold</v>
      </c>
      <c r="Q119" s="12" t="str">
        <f>IF(B119="","Remove - missing ID",IF(OR(E119="",K119=""),"Remove - invalid date",IF(COUNTIF($B$2:B119,B119)&gt;1,"Remove - duplicate ID","Keep")))</f>
        <v>Keep</v>
      </c>
      <c r="R119" s="8" t="str">
        <f t="shared" si="23"/>
        <v>Yes</v>
      </c>
    </row>
    <row r="120" spans="1:18" x14ac:dyDescent="0.25">
      <c r="A120" s="8">
        <f>ROW(Raw_Data!A120)</f>
        <v>120</v>
      </c>
      <c r="B120" s="8" t="str">
        <f>TRIM(CLEAN(Raw_Data!A120))</f>
        <v>CUS00267</v>
      </c>
      <c r="C120" s="8" t="str">
        <f>IF(TRIM(CLEAN(Raw_Data!B120))="","Not Provided",PROPER(TRIM(CLEAN(Raw_Data!B120))))</f>
        <v>Dalia Saad</v>
      </c>
      <c r="D120" s="8" t="str">
        <f>IF(OR(PROPER(TRIM(CLEAN(Raw_Data!C120)))="Male",PROPER(TRIM(CLEAN(Raw_Data!C120)))="Female"),PROPER(TRIM(CLEAN(Raw_Data!C120))),"Unknown")</f>
        <v>Female</v>
      </c>
      <c r="E120" s="11">
        <f>IF(ISNUMBER(Raw_Data!D120),Raw_Data!D120,IFERROR(DATEVALUE(Raw_Data!D120),""))</f>
        <v>35727</v>
      </c>
      <c r="F120" s="8" t="str">
        <f>IF(TRIM(CLEAN(Raw_Data!E120))="","Not Provided",TRIM(CLEAN(Raw_Data!E120)))</f>
        <v>1218037180</v>
      </c>
      <c r="G120" s="8" t="str">
        <f>IF(TRIM(CLEAN(Raw_Data!F120))="","Not Provided",LOWER(TRIM(CLEAN(Raw_Data!F120))))</f>
        <v>dalia.saad88@hotmail.com</v>
      </c>
      <c r="H120" s="8" t="str">
        <f>IF(TRIM(CLEAN(Raw_Data!G120))="","Not Provided",PROPER(TRIM(CLEAN(Raw_Data!G120))))</f>
        <v>Tanta</v>
      </c>
      <c r="I120" s="8" t="str">
        <f>IF(TRIM(CLEAN(Raw_Data!H120))="","Not Provided",PROPER(TRIM(CLEAN(Raw_Data!H120))))</f>
        <v>Nile Delta</v>
      </c>
      <c r="J120" s="8" t="str">
        <f>IF(OR(PROPER(TRIM(CLEAN(Raw_Data!I120)))="Bronze",PROPER(TRIM(CLEAN(Raw_Data!I120)))="Silver",PROPER(TRIM(CLEAN(Raw_Data!I120)))="Gold"),PROPER(TRIM(CLEAN(Raw_Data!I120))),"Unknown")</f>
        <v>Gold</v>
      </c>
      <c r="K120" s="11">
        <f>IF(ISNUMBER(Raw_Data!J120),Raw_Data!J120,IFERROR(DATEVALUE(Raw_Data!J120),""))</f>
        <v>45118</v>
      </c>
      <c r="L120" s="8" t="str">
        <f t="shared" si="18"/>
        <v>hotmail.com</v>
      </c>
      <c r="M120" s="8" t="str">
        <f t="shared" si="19"/>
        <v>CUS</v>
      </c>
      <c r="N120" s="8" t="str">
        <f t="shared" si="20"/>
        <v>00267</v>
      </c>
      <c r="O120" s="8" t="str">
        <f t="shared" si="21"/>
        <v>7180</v>
      </c>
      <c r="P120" s="8" t="str">
        <f t="shared" si="22"/>
        <v>Dalia Saad - Gold</v>
      </c>
      <c r="Q120" s="12" t="str">
        <f>IF(B120="","Remove - missing ID",IF(OR(E120="",K120=""),"Remove - invalid date",IF(COUNTIF($B$2:B120,B120)&gt;1,"Remove - duplicate ID","Keep")))</f>
        <v>Keep</v>
      </c>
      <c r="R120" s="8" t="str">
        <f t="shared" si="23"/>
        <v>Yes</v>
      </c>
    </row>
    <row r="121" spans="1:18" x14ac:dyDescent="0.25">
      <c r="A121" s="8">
        <f>ROW(Raw_Data!A121)</f>
        <v>121</v>
      </c>
      <c r="B121" s="8" t="str">
        <f>TRIM(CLEAN(Raw_Data!A121))</f>
        <v>CUS02798</v>
      </c>
      <c r="C121" s="8" t="str">
        <f>IF(TRIM(CLEAN(Raw_Data!B121))="","Not Provided",PROPER(TRIM(CLEAN(Raw_Data!B121))))</f>
        <v>Emad Attia</v>
      </c>
      <c r="D121" s="8" t="str">
        <f>IF(OR(PROPER(TRIM(CLEAN(Raw_Data!C121)))="Male",PROPER(TRIM(CLEAN(Raw_Data!C121)))="Female"),PROPER(TRIM(CLEAN(Raw_Data!C121))),"Unknown")</f>
        <v>Male</v>
      </c>
      <c r="E121" s="11">
        <f>IF(ISNUMBER(Raw_Data!D121),Raw_Data!D121,IFERROR(DATEVALUE(Raw_Data!D121),""))</f>
        <v>37070</v>
      </c>
      <c r="F121" s="8" t="str">
        <f>IF(TRIM(CLEAN(Raw_Data!E121))="","Not Provided",TRIM(CLEAN(Raw_Data!E121)))</f>
        <v>1079680430</v>
      </c>
      <c r="G121" s="8" t="str">
        <f>IF(TRIM(CLEAN(Raw_Data!F121))="","Not Provided",LOWER(TRIM(CLEAN(Raw_Data!F121))))</f>
        <v>emad.attia9@outlook.com</v>
      </c>
      <c r="H121" s="8" t="str">
        <f>IF(TRIM(CLEAN(Raw_Data!G121))="","Not Provided",PROPER(TRIM(CLEAN(Raw_Data!G121))))</f>
        <v>Mansoura</v>
      </c>
      <c r="I121" s="8" t="str">
        <f>IF(TRIM(CLEAN(Raw_Data!H121))="","Not Provided",PROPER(TRIM(CLEAN(Raw_Data!H121))))</f>
        <v>Nile Delta</v>
      </c>
      <c r="J121" s="8" t="str">
        <f>IF(OR(PROPER(TRIM(CLEAN(Raw_Data!I121)))="Bronze",PROPER(TRIM(CLEAN(Raw_Data!I121)))="Silver",PROPER(TRIM(CLEAN(Raw_Data!I121)))="Gold"),PROPER(TRIM(CLEAN(Raw_Data!I121))),"Unknown")</f>
        <v>Bronze</v>
      </c>
      <c r="K121" s="11">
        <f>IF(ISNUMBER(Raw_Data!J121),Raw_Data!J121,IFERROR(DATEVALUE(Raw_Data!J121),""))</f>
        <v>44875</v>
      </c>
      <c r="L121" s="8" t="str">
        <f t="shared" si="18"/>
        <v>outlook.com</v>
      </c>
      <c r="M121" s="8" t="str">
        <f t="shared" si="19"/>
        <v>CUS</v>
      </c>
      <c r="N121" s="8" t="str">
        <f t="shared" si="20"/>
        <v>02798</v>
      </c>
      <c r="O121" s="8" t="str">
        <f t="shared" si="21"/>
        <v>0430</v>
      </c>
      <c r="P121" s="8" t="str">
        <f t="shared" si="22"/>
        <v>Emad Attia - Bronze</v>
      </c>
      <c r="Q121" s="12" t="str">
        <f>IF(B121="","Remove - missing ID",IF(OR(E121="",K121=""),"Remove - invalid date",IF(COUNTIF($B$2:B121,B121)&gt;1,"Remove - duplicate ID","Keep")))</f>
        <v>Keep</v>
      </c>
      <c r="R121" s="8" t="str">
        <f t="shared" si="23"/>
        <v>Yes</v>
      </c>
    </row>
    <row r="122" spans="1:18" x14ac:dyDescent="0.25">
      <c r="A122" s="8">
        <f>ROW(Raw_Data!A122)</f>
        <v>122</v>
      </c>
      <c r="B122" s="8" t="str">
        <f>TRIM(CLEAN(Raw_Data!A122))</f>
        <v>CUS00323</v>
      </c>
      <c r="C122" s="8" t="str">
        <f>IF(TRIM(CLEAN(Raw_Data!B122))="","Not Provided",PROPER(TRIM(CLEAN(Raw_Data!B122))))</f>
        <v>Lobna Khalil</v>
      </c>
      <c r="D122" s="8" t="str">
        <f>IF(OR(PROPER(TRIM(CLEAN(Raw_Data!C122)))="Male",PROPER(TRIM(CLEAN(Raw_Data!C122)))="Female"),PROPER(TRIM(CLEAN(Raw_Data!C122))),"Unknown")</f>
        <v>Female</v>
      </c>
      <c r="E122" s="11" t="str">
        <f>IF(ISNUMBER(Raw_Data!D122),Raw_Data!D122,IFERROR(DATEVALUE(Raw_Data!D122),""))</f>
        <v/>
      </c>
      <c r="F122" s="8" t="str">
        <f>IF(TRIM(CLEAN(Raw_Data!E122))="","Not Provided",TRIM(CLEAN(Raw_Data!E122)))</f>
        <v>1190244451</v>
      </c>
      <c r="G122" s="8" t="str">
        <f>IF(TRIM(CLEAN(Raw_Data!F122))="","Not Provided",LOWER(TRIM(CLEAN(Raw_Data!F122))))</f>
        <v>lobna.khalil28@hotmail.com</v>
      </c>
      <c r="H122" s="8" t="str">
        <f>IF(TRIM(CLEAN(Raw_Data!G122))="","Not Provided",PROPER(TRIM(CLEAN(Raw_Data!G122))))</f>
        <v>Mansoura</v>
      </c>
      <c r="I122" s="8" t="str">
        <f>IF(TRIM(CLEAN(Raw_Data!H122))="","Not Provided",PROPER(TRIM(CLEAN(Raw_Data!H122))))</f>
        <v>Nile Delta</v>
      </c>
      <c r="J122" s="8" t="str">
        <f>IF(OR(PROPER(TRIM(CLEAN(Raw_Data!I122)))="Bronze",PROPER(TRIM(CLEAN(Raw_Data!I122)))="Silver",PROPER(TRIM(CLEAN(Raw_Data!I122)))="Gold"),PROPER(TRIM(CLEAN(Raw_Data!I122))),"Unknown")</f>
        <v>Silver</v>
      </c>
      <c r="K122" s="11">
        <f>IF(ISNUMBER(Raw_Data!J122),Raw_Data!J122,IFERROR(DATEVALUE(Raw_Data!J122),""))</f>
        <v>43914</v>
      </c>
      <c r="L122" s="8" t="str">
        <f t="shared" si="18"/>
        <v>hotmail.com</v>
      </c>
      <c r="M122" s="8" t="str">
        <f t="shared" si="19"/>
        <v>CUS</v>
      </c>
      <c r="N122" s="8" t="str">
        <f t="shared" si="20"/>
        <v>00323</v>
      </c>
      <c r="O122" s="8" t="str">
        <f t="shared" si="21"/>
        <v>4451</v>
      </c>
      <c r="P122" s="8" t="str">
        <f t="shared" si="22"/>
        <v>Lobna Khalil - Silver</v>
      </c>
      <c r="Q122" s="12" t="str">
        <f>IF(B122="","Remove - missing ID",IF(OR(E122="",K122=""),"Remove - invalid date",IF(COUNTIF($B$2:B122,B122)&gt;1,"Remove - duplicate ID","Keep")))</f>
        <v>Remove - invalid date</v>
      </c>
      <c r="R122" s="8" t="str">
        <f t="shared" si="23"/>
        <v>No</v>
      </c>
    </row>
    <row r="123" spans="1:18" x14ac:dyDescent="0.25">
      <c r="A123" s="8">
        <f>ROW(Raw_Data!A123)</f>
        <v>123</v>
      </c>
      <c r="B123" s="8" t="str">
        <f>TRIM(CLEAN(Raw_Data!A123))</f>
        <v>CUS00033</v>
      </c>
      <c r="C123" s="8" t="str">
        <f>IF(TRIM(CLEAN(Raw_Data!B123))="","Not Provided",PROPER(TRIM(CLEAN(Raw_Data!B123))))</f>
        <v>Heba Wahba</v>
      </c>
      <c r="D123" s="8" t="str">
        <f>IF(OR(PROPER(TRIM(CLEAN(Raw_Data!C123)))="Male",PROPER(TRIM(CLEAN(Raw_Data!C123)))="Female"),PROPER(TRIM(CLEAN(Raw_Data!C123))),"Unknown")</f>
        <v>Female</v>
      </c>
      <c r="E123" s="11">
        <f>IF(ISNUMBER(Raw_Data!D123),Raw_Data!D123,IFERROR(DATEVALUE(Raw_Data!D123),""))</f>
        <v>28821</v>
      </c>
      <c r="F123" s="8" t="str">
        <f>IF(TRIM(CLEAN(Raw_Data!E123))="","Not Provided",TRIM(CLEAN(Raw_Data!E123)))</f>
        <v>1120043577</v>
      </c>
      <c r="G123" s="8" t="str">
        <f>IF(TRIM(CLEAN(Raw_Data!F123))="","Not Provided",LOWER(TRIM(CLEAN(Raw_Data!F123))))</f>
        <v>heba.wahba38@hotmail.com</v>
      </c>
      <c r="H123" s="8" t="str">
        <f>IF(TRIM(CLEAN(Raw_Data!G123))="","Not Provided",PROPER(TRIM(CLEAN(Raw_Data!G123))))</f>
        <v>Cairo</v>
      </c>
      <c r="I123" s="8" t="str">
        <f>IF(TRIM(CLEAN(Raw_Data!H123))="","Not Provided",PROPER(TRIM(CLEAN(Raw_Data!H123))))</f>
        <v>Greater Cairo</v>
      </c>
      <c r="J123" s="8" t="str">
        <f>IF(OR(PROPER(TRIM(CLEAN(Raw_Data!I123)))="Bronze",PROPER(TRIM(CLEAN(Raw_Data!I123)))="Silver",PROPER(TRIM(CLEAN(Raw_Data!I123)))="Gold"),PROPER(TRIM(CLEAN(Raw_Data!I123))),"Unknown")</f>
        <v>Gold</v>
      </c>
      <c r="K123" s="11">
        <f>IF(ISNUMBER(Raw_Data!J123),Raw_Data!J123,IFERROR(DATEVALUE(Raw_Data!J123),""))</f>
        <v>44765</v>
      </c>
      <c r="L123" s="8" t="str">
        <f t="shared" si="18"/>
        <v>hotmail.com</v>
      </c>
      <c r="M123" s="8" t="str">
        <f t="shared" si="19"/>
        <v>CUS</v>
      </c>
      <c r="N123" s="8" t="str">
        <f t="shared" si="20"/>
        <v>00033</v>
      </c>
      <c r="O123" s="8" t="str">
        <f t="shared" si="21"/>
        <v>3577</v>
      </c>
      <c r="P123" s="8" t="str">
        <f t="shared" si="22"/>
        <v>Heba Wahba - Gold</v>
      </c>
      <c r="Q123" s="12" t="str">
        <f>IF(B123="","Remove - missing ID",IF(OR(E123="",K123=""),"Remove - invalid date",IF(COUNTIF($B$2:B123,B123)&gt;1,"Remove - duplicate ID","Keep")))</f>
        <v>Keep</v>
      </c>
      <c r="R123" s="8" t="str">
        <f t="shared" si="23"/>
        <v>Yes</v>
      </c>
    </row>
    <row r="124" spans="1:18" x14ac:dyDescent="0.25">
      <c r="A124" s="8">
        <f>ROW(Raw_Data!A124)</f>
        <v>124</v>
      </c>
      <c r="B124" s="8" t="str">
        <f>TRIM(CLEAN(Raw_Data!A124))</f>
        <v>CUS00371</v>
      </c>
      <c r="C124" s="8" t="str">
        <f>IF(TRIM(CLEAN(Raw_Data!B124))="","Not Provided",PROPER(TRIM(CLEAN(Raw_Data!B124))))</f>
        <v>Neveen Lotfy</v>
      </c>
      <c r="D124" s="8" t="str">
        <f>IF(OR(PROPER(TRIM(CLEAN(Raw_Data!C124)))="Male",PROPER(TRIM(CLEAN(Raw_Data!C124)))="Female"),PROPER(TRIM(CLEAN(Raw_Data!C124))),"Unknown")</f>
        <v>Female</v>
      </c>
      <c r="E124" s="11" t="str">
        <f>IF(ISNUMBER(Raw_Data!D124),Raw_Data!D124,IFERROR(DATEVALUE(Raw_Data!D124),""))</f>
        <v/>
      </c>
      <c r="F124" s="8" t="str">
        <f>IF(TRIM(CLEAN(Raw_Data!E124))="","Not Provided",TRIM(CLEAN(Raw_Data!E124)))</f>
        <v>1219560913</v>
      </c>
      <c r="G124" s="8" t="str">
        <f>IF(TRIM(CLEAN(Raw_Data!F124))="","Not Provided",LOWER(TRIM(CLEAN(Raw_Data!F124))))</f>
        <v>neveen.lotfy73@yahoo.com</v>
      </c>
      <c r="H124" s="8" t="str">
        <f>IF(TRIM(CLEAN(Raw_Data!G124))="","Not Provided",PROPER(TRIM(CLEAN(Raw_Data!G124))))</f>
        <v>Cairo</v>
      </c>
      <c r="I124" s="8" t="str">
        <f>IF(TRIM(CLEAN(Raw_Data!H124))="","Not Provided",PROPER(TRIM(CLEAN(Raw_Data!H124))))</f>
        <v>Greater Cairo</v>
      </c>
      <c r="J124" s="8" t="str">
        <f>IF(OR(PROPER(TRIM(CLEAN(Raw_Data!I124)))="Bronze",PROPER(TRIM(CLEAN(Raw_Data!I124)))="Silver",PROPER(TRIM(CLEAN(Raw_Data!I124)))="Gold"),PROPER(TRIM(CLEAN(Raw_Data!I124))),"Unknown")</f>
        <v>Silver</v>
      </c>
      <c r="K124" s="11">
        <f>IF(ISNUMBER(Raw_Data!J124),Raw_Data!J124,IFERROR(DATEVALUE(Raw_Data!J124),""))</f>
        <v>44386</v>
      </c>
      <c r="L124" s="8" t="str">
        <f t="shared" si="18"/>
        <v>yahoo.com</v>
      </c>
      <c r="M124" s="8" t="str">
        <f t="shared" si="19"/>
        <v>CUS</v>
      </c>
      <c r="N124" s="8" t="str">
        <f t="shared" si="20"/>
        <v>00371</v>
      </c>
      <c r="O124" s="8" t="str">
        <f t="shared" si="21"/>
        <v>0913</v>
      </c>
      <c r="P124" s="8" t="str">
        <f t="shared" si="22"/>
        <v>Neveen Lotfy - Silver</v>
      </c>
      <c r="Q124" s="12" t="str">
        <f>IF(B124="","Remove - missing ID",IF(OR(E124="",K124=""),"Remove - invalid date",IF(COUNTIF($B$2:B124,B124)&gt;1,"Remove - duplicate ID","Keep")))</f>
        <v>Remove - invalid date</v>
      </c>
      <c r="R124" s="8" t="str">
        <f t="shared" si="23"/>
        <v>No</v>
      </c>
    </row>
    <row r="125" spans="1:18" x14ac:dyDescent="0.25">
      <c r="A125" s="8">
        <f>ROW(Raw_Data!A125)</f>
        <v>125</v>
      </c>
      <c r="B125" s="8" t="str">
        <f>TRIM(CLEAN(Raw_Data!A125))</f>
        <v>CUS02464</v>
      </c>
      <c r="C125" s="8" t="str">
        <f>IF(TRIM(CLEAN(Raw_Data!B125))="","Not Provided",PROPER(TRIM(CLEAN(Raw_Data!B125))))</f>
        <v>Hassan Hamdy</v>
      </c>
      <c r="D125" s="8" t="str">
        <f>IF(OR(PROPER(TRIM(CLEAN(Raw_Data!C125)))="Male",PROPER(TRIM(CLEAN(Raw_Data!C125)))="Female"),PROPER(TRIM(CLEAN(Raw_Data!C125))),"Unknown")</f>
        <v>Male</v>
      </c>
      <c r="E125" s="11">
        <f>IF(ISNUMBER(Raw_Data!D125),Raw_Data!D125,IFERROR(DATEVALUE(Raw_Data!D125),""))</f>
        <v>37964</v>
      </c>
      <c r="F125" s="8" t="str">
        <f>IF(TRIM(CLEAN(Raw_Data!E125))="","Not Provided",TRIM(CLEAN(Raw_Data!E125)))</f>
        <v>1045500468</v>
      </c>
      <c r="G125" s="8" t="str">
        <f>IF(TRIM(CLEAN(Raw_Data!F125))="","Not Provided",LOWER(TRIM(CLEAN(Raw_Data!F125))))</f>
        <v>hassan.hamdy84@yahoo.com</v>
      </c>
      <c r="H125" s="8" t="str">
        <f>IF(TRIM(CLEAN(Raw_Data!G125))="","Not Provided",PROPER(TRIM(CLEAN(Raw_Data!G125))))</f>
        <v>Alexandria</v>
      </c>
      <c r="I125" s="8" t="str">
        <f>IF(TRIM(CLEAN(Raw_Data!H125))="","Not Provided",PROPER(TRIM(CLEAN(Raw_Data!H125))))</f>
        <v>Alexandria</v>
      </c>
      <c r="J125" s="8" t="str">
        <f>IF(OR(PROPER(TRIM(CLEAN(Raw_Data!I125)))="Bronze",PROPER(TRIM(CLEAN(Raw_Data!I125)))="Silver",PROPER(TRIM(CLEAN(Raw_Data!I125)))="Gold"),PROPER(TRIM(CLEAN(Raw_Data!I125))),"Unknown")</f>
        <v>Gold</v>
      </c>
      <c r="K125" s="11">
        <f>IF(ISNUMBER(Raw_Data!J125),Raw_Data!J125,IFERROR(DATEVALUE(Raw_Data!J125),""))</f>
        <v>44323</v>
      </c>
      <c r="L125" s="8" t="str">
        <f t="shared" si="18"/>
        <v>yahoo.com</v>
      </c>
      <c r="M125" s="8" t="str">
        <f t="shared" si="19"/>
        <v>CUS</v>
      </c>
      <c r="N125" s="8" t="str">
        <f t="shared" si="20"/>
        <v>02464</v>
      </c>
      <c r="O125" s="8" t="str">
        <f t="shared" si="21"/>
        <v>0468</v>
      </c>
      <c r="P125" s="8" t="str">
        <f t="shared" si="22"/>
        <v>Hassan Hamdy - Gold</v>
      </c>
      <c r="Q125" s="12" t="str">
        <f>IF(B125="","Remove - missing ID",IF(OR(E125="",K125=""),"Remove - invalid date",IF(COUNTIF($B$2:B125,B125)&gt;1,"Remove - duplicate ID","Keep")))</f>
        <v>Keep</v>
      </c>
      <c r="R125" s="8" t="str">
        <f t="shared" si="23"/>
        <v>Yes</v>
      </c>
    </row>
    <row r="126" spans="1:18" x14ac:dyDescent="0.25">
      <c r="A126" s="8">
        <f>ROW(Raw_Data!A126)</f>
        <v>126</v>
      </c>
      <c r="B126" s="8" t="str">
        <f>TRIM(CLEAN(Raw_Data!A126))</f>
        <v>CUS00015</v>
      </c>
      <c r="C126" s="8" t="str">
        <f>IF(TRIM(CLEAN(Raw_Data!B126))="","Not Provided",PROPER(TRIM(CLEAN(Raw_Data!B126))))</f>
        <v>Heba Abdallah</v>
      </c>
      <c r="D126" s="8" t="str">
        <f>IF(OR(PROPER(TRIM(CLEAN(Raw_Data!C126)))="Male",PROPER(TRIM(CLEAN(Raw_Data!C126)))="Female"),PROPER(TRIM(CLEAN(Raw_Data!C126))),"Unknown")</f>
        <v>Female</v>
      </c>
      <c r="E126" s="11">
        <f>IF(ISNUMBER(Raw_Data!D126),Raw_Data!D126,IFERROR(DATEVALUE(Raw_Data!D126),""))</f>
        <v>35073</v>
      </c>
      <c r="F126" s="8" t="str">
        <f>IF(TRIM(CLEAN(Raw_Data!E126))="","Not Provided",TRIM(CLEAN(Raw_Data!E126)))</f>
        <v>1227030641</v>
      </c>
      <c r="G126" s="8" t="str">
        <f>IF(TRIM(CLEAN(Raw_Data!F126))="","Not Provided",LOWER(TRIM(CLEAN(Raw_Data!F126))))</f>
        <v>heba.abdallah32@outlook.com</v>
      </c>
      <c r="H126" s="8" t="str">
        <f>IF(TRIM(CLEAN(Raw_Data!G126))="","Not Provided",PROPER(TRIM(CLEAN(Raw_Data!G126))))</f>
        <v>Cairo</v>
      </c>
      <c r="I126" s="8" t="str">
        <f>IF(TRIM(CLEAN(Raw_Data!H126))="","Not Provided",PROPER(TRIM(CLEAN(Raw_Data!H126))))</f>
        <v>Greater Cairo</v>
      </c>
      <c r="J126" s="8" t="str">
        <f>IF(OR(PROPER(TRIM(CLEAN(Raw_Data!I126)))="Bronze",PROPER(TRIM(CLEAN(Raw_Data!I126)))="Silver",PROPER(TRIM(CLEAN(Raw_Data!I126)))="Gold"),PROPER(TRIM(CLEAN(Raw_Data!I126))),"Unknown")</f>
        <v>Silver</v>
      </c>
      <c r="K126" s="11">
        <f>IF(ISNUMBER(Raw_Data!J126),Raw_Data!J126,IFERROR(DATEVALUE(Raw_Data!J126),""))</f>
        <v>45004</v>
      </c>
      <c r="L126" s="8" t="str">
        <f t="shared" si="18"/>
        <v>outlook.com</v>
      </c>
      <c r="M126" s="8" t="str">
        <f t="shared" si="19"/>
        <v>CUS</v>
      </c>
      <c r="N126" s="8" t="str">
        <f t="shared" si="20"/>
        <v>00015</v>
      </c>
      <c r="O126" s="8" t="str">
        <f t="shared" si="21"/>
        <v>0641</v>
      </c>
      <c r="P126" s="8" t="str">
        <f t="shared" si="22"/>
        <v>Heba Abdallah - Silver</v>
      </c>
      <c r="Q126" s="12" t="str">
        <f>IF(B126="","Remove - missing ID",IF(OR(E126="",K126=""),"Remove - invalid date",IF(COUNTIF($B$2:B126,B126)&gt;1,"Remove - duplicate ID","Keep")))</f>
        <v>Keep</v>
      </c>
      <c r="R126" s="8" t="str">
        <f t="shared" si="23"/>
        <v>Yes</v>
      </c>
    </row>
    <row r="127" spans="1:18" x14ac:dyDescent="0.25">
      <c r="A127" s="8">
        <f>ROW(Raw_Data!A127)</f>
        <v>127</v>
      </c>
      <c r="B127" s="8" t="str">
        <f>TRIM(CLEAN(Raw_Data!A127))</f>
        <v>CUS00094</v>
      </c>
      <c r="C127" s="8" t="str">
        <f>IF(TRIM(CLEAN(Raw_Data!B127))="","Not Provided",PROPER(TRIM(CLEAN(Raw_Data!B127))))</f>
        <v>Hany Nasser</v>
      </c>
      <c r="D127" s="8" t="str">
        <f>IF(OR(PROPER(TRIM(CLEAN(Raw_Data!C127)))="Male",PROPER(TRIM(CLEAN(Raw_Data!C127)))="Female"),PROPER(TRIM(CLEAN(Raw_Data!C127))),"Unknown")</f>
        <v>Male</v>
      </c>
      <c r="E127" s="11">
        <f>IF(ISNUMBER(Raw_Data!D127),Raw_Data!D127,IFERROR(DATEVALUE(Raw_Data!D127),""))</f>
        <v>33401</v>
      </c>
      <c r="F127" s="8" t="str">
        <f>IF(TRIM(CLEAN(Raw_Data!E127))="","Not Provided",TRIM(CLEAN(Raw_Data!E127)))</f>
        <v>1139319229</v>
      </c>
      <c r="G127" s="8" t="str">
        <f>IF(TRIM(CLEAN(Raw_Data!F127))="","Not Provided",LOWER(TRIM(CLEAN(Raw_Data!F127))))</f>
        <v>hany.nasser97@gmail.com</v>
      </c>
      <c r="H127" s="8" t="str">
        <f>IF(TRIM(CLEAN(Raw_Data!G127))="","Not Provided",PROPER(TRIM(CLEAN(Raw_Data!G127))))</f>
        <v>Alexandria</v>
      </c>
      <c r="I127" s="8" t="str">
        <f>IF(TRIM(CLEAN(Raw_Data!H127))="","Not Provided",PROPER(TRIM(CLEAN(Raw_Data!H127))))</f>
        <v>Alexandria</v>
      </c>
      <c r="J127" s="8" t="str">
        <f>IF(OR(PROPER(TRIM(CLEAN(Raw_Data!I127)))="Bronze",PROPER(TRIM(CLEAN(Raw_Data!I127)))="Silver",PROPER(TRIM(CLEAN(Raw_Data!I127)))="Gold"),PROPER(TRIM(CLEAN(Raw_Data!I127))),"Unknown")</f>
        <v>Bronze</v>
      </c>
      <c r="K127" s="11">
        <f>IF(ISNUMBER(Raw_Data!J127),Raw_Data!J127,IFERROR(DATEVALUE(Raw_Data!J127),""))</f>
        <v>44147</v>
      </c>
      <c r="L127" s="8" t="str">
        <f t="shared" si="18"/>
        <v>gmail.com</v>
      </c>
      <c r="M127" s="8" t="str">
        <f t="shared" si="19"/>
        <v>CUS</v>
      </c>
      <c r="N127" s="8" t="str">
        <f t="shared" si="20"/>
        <v>00094</v>
      </c>
      <c r="O127" s="8" t="str">
        <f t="shared" si="21"/>
        <v>9229</v>
      </c>
      <c r="P127" s="8" t="str">
        <f t="shared" si="22"/>
        <v>Hany Nasser - Bronze</v>
      </c>
      <c r="Q127" s="12" t="str">
        <f>IF(B127="","Remove - missing ID",IF(OR(E127="",K127=""),"Remove - invalid date",IF(COUNTIF($B$2:B127,B127)&gt;1,"Remove - duplicate ID","Keep")))</f>
        <v>Keep</v>
      </c>
      <c r="R127" s="8" t="str">
        <f t="shared" si="23"/>
        <v>Yes</v>
      </c>
    </row>
    <row r="128" spans="1:18" x14ac:dyDescent="0.25">
      <c r="A128" s="8">
        <f>ROW(Raw_Data!A128)</f>
        <v>128</v>
      </c>
      <c r="B128" s="8" t="str">
        <f>TRIM(CLEAN(Raw_Data!A128))</f>
        <v>CUS02758</v>
      </c>
      <c r="C128" s="8" t="str">
        <f>IF(TRIM(CLEAN(Raw_Data!B128))="","Not Provided",PROPER(TRIM(CLEAN(Raw_Data!B128))))</f>
        <v>Rania Nasser</v>
      </c>
      <c r="D128" s="8" t="str">
        <f>IF(OR(PROPER(TRIM(CLEAN(Raw_Data!C128)))="Male",PROPER(TRIM(CLEAN(Raw_Data!C128)))="Female"),PROPER(TRIM(CLEAN(Raw_Data!C128))),"Unknown")</f>
        <v>Female</v>
      </c>
      <c r="E128" s="11">
        <f>IF(ISNUMBER(Raw_Data!D128),Raw_Data!D128,IFERROR(DATEVALUE(Raw_Data!D128),""))</f>
        <v>27969</v>
      </c>
      <c r="F128" s="8" t="str">
        <f>IF(TRIM(CLEAN(Raw_Data!E128))="","Not Provided",TRIM(CLEAN(Raw_Data!E128)))</f>
        <v>1151971760</v>
      </c>
      <c r="G128" s="8" t="str">
        <f>IF(TRIM(CLEAN(Raw_Data!F128))="","Not Provided",LOWER(TRIM(CLEAN(Raw_Data!F128))))</f>
        <v>rania.nasser45@hotmail.com</v>
      </c>
      <c r="H128" s="8" t="str">
        <f>IF(TRIM(CLEAN(Raw_Data!G128))="","Not Provided",PROPER(TRIM(CLEAN(Raw_Data!G128))))</f>
        <v>Suez</v>
      </c>
      <c r="I128" s="8" t="str">
        <f>IF(TRIM(CLEAN(Raw_Data!H128))="","Not Provided",PROPER(TRIM(CLEAN(Raw_Data!H128))))</f>
        <v>Canal Zone</v>
      </c>
      <c r="J128" s="8" t="str">
        <f>IF(OR(PROPER(TRIM(CLEAN(Raw_Data!I128)))="Bronze",PROPER(TRIM(CLEAN(Raw_Data!I128)))="Silver",PROPER(TRIM(CLEAN(Raw_Data!I128)))="Gold"),PROPER(TRIM(CLEAN(Raw_Data!I128))),"Unknown")</f>
        <v>Bronze</v>
      </c>
      <c r="K128" s="11">
        <f>IF(ISNUMBER(Raw_Data!J128),Raw_Data!J128,IFERROR(DATEVALUE(Raw_Data!J128),""))</f>
        <v>43933</v>
      </c>
      <c r="L128" s="8" t="str">
        <f t="shared" si="18"/>
        <v>hotmail.com</v>
      </c>
      <c r="M128" s="8" t="str">
        <f t="shared" si="19"/>
        <v>CUS</v>
      </c>
      <c r="N128" s="8" t="str">
        <f t="shared" si="20"/>
        <v>02758</v>
      </c>
      <c r="O128" s="8" t="str">
        <f t="shared" si="21"/>
        <v>1760</v>
      </c>
      <c r="P128" s="8" t="str">
        <f t="shared" si="22"/>
        <v>Rania Nasser - Bronze</v>
      </c>
      <c r="Q128" s="12" t="str">
        <f>IF(B128="","Remove - missing ID",IF(OR(E128="",K128=""),"Remove - invalid date",IF(COUNTIF($B$2:B128,B128)&gt;1,"Remove - duplicate ID","Keep")))</f>
        <v>Keep</v>
      </c>
      <c r="R128" s="8" t="str">
        <f t="shared" si="23"/>
        <v>Yes</v>
      </c>
    </row>
    <row r="129" spans="1:18" x14ac:dyDescent="0.25">
      <c r="A129" s="8">
        <f>ROW(Raw_Data!A129)</f>
        <v>129</v>
      </c>
      <c r="B129" s="8" t="str">
        <f>TRIM(CLEAN(Raw_Data!A129))</f>
        <v>CUS00880</v>
      </c>
      <c r="C129" s="8" t="str">
        <f>IF(TRIM(CLEAN(Raw_Data!B129))="","Not Provided",PROPER(TRIM(CLEAN(Raw_Data!B129))))</f>
        <v>Mariam Barakat</v>
      </c>
      <c r="D129" s="8" t="str">
        <f>IF(OR(PROPER(TRIM(CLEAN(Raw_Data!C129)))="Male",PROPER(TRIM(CLEAN(Raw_Data!C129)))="Female"),PROPER(TRIM(CLEAN(Raw_Data!C129))),"Unknown")</f>
        <v>Female</v>
      </c>
      <c r="E129" s="11">
        <f>IF(ISNUMBER(Raw_Data!D129),Raw_Data!D129,IFERROR(DATEVALUE(Raw_Data!D129),""))</f>
        <v>31111</v>
      </c>
      <c r="F129" s="8" t="str">
        <f>IF(TRIM(CLEAN(Raw_Data!E129))="","Not Provided",TRIM(CLEAN(Raw_Data!E129)))</f>
        <v>1023228017</v>
      </c>
      <c r="G129" s="8" t="str">
        <f>IF(TRIM(CLEAN(Raw_Data!F129))="","Not Provided",LOWER(TRIM(CLEAN(Raw_Data!F129))))</f>
        <v>mariam.barakat7@yahoo.com</v>
      </c>
      <c r="H129" s="8" t="str">
        <f>IF(TRIM(CLEAN(Raw_Data!G129))="","Not Provided",PROPER(TRIM(CLEAN(Raw_Data!G129))))</f>
        <v>Cairo</v>
      </c>
      <c r="I129" s="8" t="str">
        <f>IF(TRIM(CLEAN(Raw_Data!H129))="","Not Provided",PROPER(TRIM(CLEAN(Raw_Data!H129))))</f>
        <v>Greater Cairo</v>
      </c>
      <c r="J129" s="8" t="str">
        <f>IF(OR(PROPER(TRIM(CLEAN(Raw_Data!I129)))="Bronze",PROPER(TRIM(CLEAN(Raw_Data!I129)))="Silver",PROPER(TRIM(CLEAN(Raw_Data!I129)))="Gold"),PROPER(TRIM(CLEAN(Raw_Data!I129))),"Unknown")</f>
        <v>Bronze</v>
      </c>
      <c r="K129" s="11">
        <f>IF(ISNUMBER(Raw_Data!J129),Raw_Data!J129,IFERROR(DATEVALUE(Raw_Data!J129),""))</f>
        <v>44198</v>
      </c>
      <c r="L129" s="8" t="str">
        <f t="shared" si="18"/>
        <v>yahoo.com</v>
      </c>
      <c r="M129" s="8" t="str">
        <f t="shared" si="19"/>
        <v>CUS</v>
      </c>
      <c r="N129" s="8" t="str">
        <f t="shared" si="20"/>
        <v>00880</v>
      </c>
      <c r="O129" s="8" t="str">
        <f t="shared" si="21"/>
        <v>8017</v>
      </c>
      <c r="P129" s="8" t="str">
        <f t="shared" si="22"/>
        <v>Mariam Barakat - Bronze</v>
      </c>
      <c r="Q129" s="12" t="str">
        <f>IF(B129="","Remove - missing ID",IF(OR(E129="",K129=""),"Remove - invalid date",IF(COUNTIF($B$2:B129,B129)&gt;1,"Remove - duplicate ID","Keep")))</f>
        <v>Keep</v>
      </c>
      <c r="R129" s="8" t="str">
        <f t="shared" si="23"/>
        <v>Yes</v>
      </c>
    </row>
    <row r="130" spans="1:18" x14ac:dyDescent="0.25">
      <c r="A130" s="8">
        <f>ROW(Raw_Data!A130)</f>
        <v>130</v>
      </c>
      <c r="B130" s="8" t="str">
        <f>TRIM(CLEAN(Raw_Data!A130))</f>
        <v>CUS00643</v>
      </c>
      <c r="C130" s="8" t="str">
        <f>IF(TRIM(CLEAN(Raw_Data!B130))="","Not Provided",PROPER(TRIM(CLEAN(Raw_Data!B130))))</f>
        <v>Samir Mansour</v>
      </c>
      <c r="D130" s="8" t="str">
        <f>IF(OR(PROPER(TRIM(CLEAN(Raw_Data!C130)))="Male",PROPER(TRIM(CLEAN(Raw_Data!C130)))="Female"),PROPER(TRIM(CLEAN(Raw_Data!C130))),"Unknown")</f>
        <v>Male</v>
      </c>
      <c r="E130" s="11" t="str">
        <f>IF(ISNUMBER(Raw_Data!D130),Raw_Data!D130,IFERROR(DATEVALUE(Raw_Data!D130),""))</f>
        <v/>
      </c>
      <c r="F130" s="8" t="str">
        <f>IF(TRIM(CLEAN(Raw_Data!E130))="","Not Provided",TRIM(CLEAN(Raw_Data!E130)))</f>
        <v>1036658273</v>
      </c>
      <c r="G130" s="8" t="str">
        <f>IF(TRIM(CLEAN(Raw_Data!F130))="","Not Provided",LOWER(TRIM(CLEAN(Raw_Data!F130))))</f>
        <v>samir.mansour34@yahoo.com</v>
      </c>
      <c r="H130" s="8" t="str">
        <f>IF(TRIM(CLEAN(Raw_Data!G130))="","Not Provided",PROPER(TRIM(CLEAN(Raw_Data!G130))))</f>
        <v>Cairo</v>
      </c>
      <c r="I130" s="8" t="str">
        <f>IF(TRIM(CLEAN(Raw_Data!H130))="","Not Provided",PROPER(TRIM(CLEAN(Raw_Data!H130))))</f>
        <v>Greater Cairo</v>
      </c>
      <c r="J130" s="8" t="str">
        <f>IF(OR(PROPER(TRIM(CLEAN(Raw_Data!I130)))="Bronze",PROPER(TRIM(CLEAN(Raw_Data!I130)))="Silver",PROPER(TRIM(CLEAN(Raw_Data!I130)))="Gold"),PROPER(TRIM(CLEAN(Raw_Data!I130))),"Unknown")</f>
        <v>Bronze</v>
      </c>
      <c r="K130" s="11">
        <f>IF(ISNUMBER(Raw_Data!J130),Raw_Data!J130,IFERROR(DATEVALUE(Raw_Data!J130),""))</f>
        <v>44816</v>
      </c>
      <c r="L130" s="8" t="str">
        <f t="shared" ref="L130:L166" si="24">IFERROR(MID(G130,FIND("@",G130)+1,99),"")</f>
        <v>yahoo.com</v>
      </c>
      <c r="M130" s="8" t="str">
        <f t="shared" ref="M130:M166" si="25">LEFT(B130,3)</f>
        <v>CUS</v>
      </c>
      <c r="N130" s="8" t="str">
        <f t="shared" ref="N130:N166" si="26">IFERROR(MID(B130,4,10),"")</f>
        <v>00643</v>
      </c>
      <c r="O130" s="8" t="str">
        <f t="shared" ref="O130:O166" si="27">RIGHT(F130,4)</f>
        <v>8273</v>
      </c>
      <c r="P130" s="8" t="str">
        <f t="shared" ref="P130:P166" si="28">CONCATENATE(C130," - ",J130)</f>
        <v>Samir Mansour - Bronze</v>
      </c>
      <c r="Q130" s="12" t="str">
        <f>IF(B130="","Remove - missing ID",IF(OR(E130="",K130=""),"Remove - invalid date",IF(COUNTIF($B$2:B130,B130)&gt;1,"Remove - duplicate ID","Keep")))</f>
        <v>Remove - invalid date</v>
      </c>
      <c r="R130" s="8" t="str">
        <f t="shared" ref="R130:R161" si="29">IF(Q130="Keep","Yes","No")</f>
        <v>No</v>
      </c>
    </row>
    <row r="131" spans="1:18" x14ac:dyDescent="0.25">
      <c r="A131" s="8">
        <f>ROW(Raw_Data!A131)</f>
        <v>131</v>
      </c>
      <c r="B131" s="8" t="str">
        <f>TRIM(CLEAN(Raw_Data!A131))</f>
        <v>CUS02098</v>
      </c>
      <c r="C131" s="8" t="str">
        <f>IF(TRIM(CLEAN(Raw_Data!B131))="","Not Provided",PROPER(TRIM(CLEAN(Raw_Data!B131))))</f>
        <v>Zeinab Wahba</v>
      </c>
      <c r="D131" s="8" t="str">
        <f>IF(OR(PROPER(TRIM(CLEAN(Raw_Data!C131)))="Male",PROPER(TRIM(CLEAN(Raw_Data!C131)))="Female"),PROPER(TRIM(CLEAN(Raw_Data!C131))),"Unknown")</f>
        <v>Female</v>
      </c>
      <c r="E131" s="11">
        <f>IF(ISNUMBER(Raw_Data!D131),Raw_Data!D131,IFERROR(DATEVALUE(Raw_Data!D131),""))</f>
        <v>30991</v>
      </c>
      <c r="F131" s="8" t="str">
        <f>IF(TRIM(CLEAN(Raw_Data!E131))="","Not Provided",TRIM(CLEAN(Raw_Data!E131)))</f>
        <v>1033172968</v>
      </c>
      <c r="G131" s="8" t="str">
        <f>IF(TRIM(CLEAN(Raw_Data!F131))="","Not Provided",LOWER(TRIM(CLEAN(Raw_Data!F131))))</f>
        <v>zeinab.wahba79@hotmail.com</v>
      </c>
      <c r="H131" s="8" t="str">
        <f>IF(TRIM(CLEAN(Raw_Data!G131))="","Not Provided",PROPER(TRIM(CLEAN(Raw_Data!G131))))</f>
        <v>Mansoura</v>
      </c>
      <c r="I131" s="8" t="str">
        <f>IF(TRIM(CLEAN(Raw_Data!H131))="","Not Provided",PROPER(TRIM(CLEAN(Raw_Data!H131))))</f>
        <v>Nile Delta</v>
      </c>
      <c r="J131" s="8" t="str">
        <f>IF(OR(PROPER(TRIM(CLEAN(Raw_Data!I131)))="Bronze",PROPER(TRIM(CLEAN(Raw_Data!I131)))="Silver",PROPER(TRIM(CLEAN(Raw_Data!I131)))="Gold"),PROPER(TRIM(CLEAN(Raw_Data!I131))),"Unknown")</f>
        <v>Gold</v>
      </c>
      <c r="K131" s="11">
        <f>IF(ISNUMBER(Raw_Data!J131),Raw_Data!J131,IFERROR(DATEVALUE(Raw_Data!J131),""))</f>
        <v>44349</v>
      </c>
      <c r="L131" s="8" t="str">
        <f t="shared" si="24"/>
        <v>hotmail.com</v>
      </c>
      <c r="M131" s="8" t="str">
        <f t="shared" si="25"/>
        <v>CUS</v>
      </c>
      <c r="N131" s="8" t="str">
        <f t="shared" si="26"/>
        <v>02098</v>
      </c>
      <c r="O131" s="8" t="str">
        <f t="shared" si="27"/>
        <v>2968</v>
      </c>
      <c r="P131" s="8" t="str">
        <f t="shared" si="28"/>
        <v>Zeinab Wahba - Gold</v>
      </c>
      <c r="Q131" s="12" t="str">
        <f>IF(B131="","Remove - missing ID",IF(OR(E131="",K131=""),"Remove - invalid date",IF(COUNTIF($B$2:B131,B131)&gt;1,"Remove - duplicate ID","Keep")))</f>
        <v>Keep</v>
      </c>
      <c r="R131" s="8" t="str">
        <f t="shared" si="29"/>
        <v>Yes</v>
      </c>
    </row>
    <row r="132" spans="1:18" x14ac:dyDescent="0.25">
      <c r="A132" s="8">
        <f>ROW(Raw_Data!A132)</f>
        <v>132</v>
      </c>
      <c r="B132" s="8" t="str">
        <f>TRIM(CLEAN(Raw_Data!A132))</f>
        <v>CUS01603</v>
      </c>
      <c r="C132" s="8" t="str">
        <f>IF(TRIM(CLEAN(Raw_Data!B132))="","Not Provided",PROPER(TRIM(CLEAN(Raw_Data!B132))))</f>
        <v>Ali Younis</v>
      </c>
      <c r="D132" s="8" t="str">
        <f>IF(OR(PROPER(TRIM(CLEAN(Raw_Data!C132)))="Male",PROPER(TRIM(CLEAN(Raw_Data!C132)))="Female"),PROPER(TRIM(CLEAN(Raw_Data!C132))),"Unknown")</f>
        <v>Male</v>
      </c>
      <c r="E132" s="11">
        <f>IF(ISNUMBER(Raw_Data!D132),Raw_Data!D132,IFERROR(DATEVALUE(Raw_Data!D132),""))</f>
        <v>29898</v>
      </c>
      <c r="F132" s="8" t="str">
        <f>IF(TRIM(CLEAN(Raw_Data!E132))="","Not Provided",TRIM(CLEAN(Raw_Data!E132)))</f>
        <v>1063761226</v>
      </c>
      <c r="G132" s="8" t="str">
        <f>IF(TRIM(CLEAN(Raw_Data!F132))="","Not Provided",LOWER(TRIM(CLEAN(Raw_Data!F132))))</f>
        <v>ali.younis95@outlook.com</v>
      </c>
      <c r="H132" s="8" t="str">
        <f>IF(TRIM(CLEAN(Raw_Data!G132))="","Not Provided",PROPER(TRIM(CLEAN(Raw_Data!G132))))</f>
        <v>Cairo</v>
      </c>
      <c r="I132" s="8" t="str">
        <f>IF(TRIM(CLEAN(Raw_Data!H132))="","Not Provided",PROPER(TRIM(CLEAN(Raw_Data!H132))))</f>
        <v>Greater Cairo</v>
      </c>
      <c r="J132" s="8" t="str">
        <f>IF(OR(PROPER(TRIM(CLEAN(Raw_Data!I132)))="Bronze",PROPER(TRIM(CLEAN(Raw_Data!I132)))="Silver",PROPER(TRIM(CLEAN(Raw_Data!I132)))="Gold"),PROPER(TRIM(CLEAN(Raw_Data!I132))),"Unknown")</f>
        <v>Gold</v>
      </c>
      <c r="K132" s="11">
        <f>IF(ISNUMBER(Raw_Data!J132),Raw_Data!J132,IFERROR(DATEVALUE(Raw_Data!J132),""))</f>
        <v>45103</v>
      </c>
      <c r="L132" s="8" t="str">
        <f t="shared" si="24"/>
        <v>outlook.com</v>
      </c>
      <c r="M132" s="8" t="str">
        <f t="shared" si="25"/>
        <v>CUS</v>
      </c>
      <c r="N132" s="8" t="str">
        <f t="shared" si="26"/>
        <v>01603</v>
      </c>
      <c r="O132" s="8" t="str">
        <f t="shared" si="27"/>
        <v>1226</v>
      </c>
      <c r="P132" s="8" t="str">
        <f t="shared" si="28"/>
        <v>Ali Younis - Gold</v>
      </c>
      <c r="Q132" s="12" t="str">
        <f>IF(B132="","Remove - missing ID",IF(OR(E132="",K132=""),"Remove - invalid date",IF(COUNTIF($B$2:B132,B132)&gt;1,"Remove - duplicate ID","Keep")))</f>
        <v>Keep</v>
      </c>
      <c r="R132" s="8" t="str">
        <f t="shared" si="29"/>
        <v>Yes</v>
      </c>
    </row>
    <row r="133" spans="1:18" x14ac:dyDescent="0.25">
      <c r="A133" s="8">
        <f>ROW(Raw_Data!A133)</f>
        <v>133</v>
      </c>
      <c r="B133" s="8" t="str">
        <f>TRIM(CLEAN(Raw_Data!A133))</f>
        <v>CUS01107</v>
      </c>
      <c r="C133" s="8" t="str">
        <f>IF(TRIM(CLEAN(Raw_Data!B133))="","Not Provided",PROPER(TRIM(CLEAN(Raw_Data!B133))))</f>
        <v>Maged Mohamed</v>
      </c>
      <c r="D133" s="8" t="str">
        <f>IF(OR(PROPER(TRIM(CLEAN(Raw_Data!C133)))="Male",PROPER(TRIM(CLEAN(Raw_Data!C133)))="Female"),PROPER(TRIM(CLEAN(Raw_Data!C133))),"Unknown")</f>
        <v>Male</v>
      </c>
      <c r="E133" s="11">
        <f>IF(ISNUMBER(Raw_Data!D133),Raw_Data!D133,IFERROR(DATEVALUE(Raw_Data!D133),""))</f>
        <v>36609</v>
      </c>
      <c r="F133" s="8" t="str">
        <f>IF(TRIM(CLEAN(Raw_Data!E133))="","Not Provided",TRIM(CLEAN(Raw_Data!E133)))</f>
        <v>1144327434</v>
      </c>
      <c r="G133" s="8" t="str">
        <f>IF(TRIM(CLEAN(Raw_Data!F133))="","Not Provided",LOWER(TRIM(CLEAN(Raw_Data!F133))))</f>
        <v>maged.mohamed11@outlook.com</v>
      </c>
      <c r="H133" s="8" t="str">
        <f>IF(TRIM(CLEAN(Raw_Data!G133))="","Not Provided",PROPER(TRIM(CLEAN(Raw_Data!G133))))</f>
        <v>Giza</v>
      </c>
      <c r="I133" s="8" t="str">
        <f>IF(TRIM(CLEAN(Raw_Data!H133))="","Not Provided",PROPER(TRIM(CLEAN(Raw_Data!H133))))</f>
        <v>Greater Cairo</v>
      </c>
      <c r="J133" s="8" t="str">
        <f>IF(OR(PROPER(TRIM(CLEAN(Raw_Data!I133)))="Bronze",PROPER(TRIM(CLEAN(Raw_Data!I133)))="Silver",PROPER(TRIM(CLEAN(Raw_Data!I133)))="Gold"),PROPER(TRIM(CLEAN(Raw_Data!I133))),"Unknown")</f>
        <v>Bronze</v>
      </c>
      <c r="K133" s="11">
        <f>IF(ISNUMBER(Raw_Data!J133),Raw_Data!J133,IFERROR(DATEVALUE(Raw_Data!J133),""))</f>
        <v>44626</v>
      </c>
      <c r="L133" s="8" t="str">
        <f t="shared" si="24"/>
        <v>outlook.com</v>
      </c>
      <c r="M133" s="8" t="str">
        <f t="shared" si="25"/>
        <v>CUS</v>
      </c>
      <c r="N133" s="8" t="str">
        <f t="shared" si="26"/>
        <v>01107</v>
      </c>
      <c r="O133" s="8" t="str">
        <f t="shared" si="27"/>
        <v>7434</v>
      </c>
      <c r="P133" s="8" t="str">
        <f t="shared" si="28"/>
        <v>Maged Mohamed - Bronze</v>
      </c>
      <c r="Q133" s="12" t="str">
        <f>IF(B133="","Remove - missing ID",IF(OR(E133="",K133=""),"Remove - invalid date",IF(COUNTIF($B$2:B133,B133)&gt;1,"Remove - duplicate ID","Keep")))</f>
        <v>Keep</v>
      </c>
      <c r="R133" s="8" t="str">
        <f t="shared" si="29"/>
        <v>Yes</v>
      </c>
    </row>
    <row r="134" spans="1:18" x14ac:dyDescent="0.25">
      <c r="A134" s="8">
        <f>ROW(Raw_Data!A134)</f>
        <v>134</v>
      </c>
      <c r="B134" s="8" t="str">
        <f>TRIM(CLEAN(Raw_Data!A134))</f>
        <v>CUS00757</v>
      </c>
      <c r="C134" s="8" t="str">
        <f>IF(TRIM(CLEAN(Raw_Data!B134))="","Not Provided",PROPER(TRIM(CLEAN(Raw_Data!B134))))</f>
        <v>Emad Salem</v>
      </c>
      <c r="D134" s="8" t="str">
        <f>IF(OR(PROPER(TRIM(CLEAN(Raw_Data!C134)))="Male",PROPER(TRIM(CLEAN(Raw_Data!C134)))="Female"),PROPER(TRIM(CLEAN(Raw_Data!C134))),"Unknown")</f>
        <v>Male</v>
      </c>
      <c r="E134" s="11">
        <f>IF(ISNUMBER(Raw_Data!D134),Raw_Data!D134,IFERROR(DATEVALUE(Raw_Data!D134),""))</f>
        <v>28948</v>
      </c>
      <c r="F134" s="8" t="str">
        <f>IF(TRIM(CLEAN(Raw_Data!E134))="","Not Provided",TRIM(CLEAN(Raw_Data!E134)))</f>
        <v>1261524781</v>
      </c>
      <c r="G134" s="8" t="str">
        <f>IF(TRIM(CLEAN(Raw_Data!F134))="","Not Provided",LOWER(TRIM(CLEAN(Raw_Data!F134))))</f>
        <v>Not Provided</v>
      </c>
      <c r="H134" s="8" t="str">
        <f>IF(TRIM(CLEAN(Raw_Data!G134))="","Not Provided",PROPER(TRIM(CLEAN(Raw_Data!G134))))</f>
        <v>Mansoura</v>
      </c>
      <c r="I134" s="8" t="str">
        <f>IF(TRIM(CLEAN(Raw_Data!H134))="","Not Provided",PROPER(TRIM(CLEAN(Raw_Data!H134))))</f>
        <v>Nile Delta</v>
      </c>
      <c r="J134" s="8" t="str">
        <f>IF(OR(PROPER(TRIM(CLEAN(Raw_Data!I134)))="Bronze",PROPER(TRIM(CLEAN(Raw_Data!I134)))="Silver",PROPER(TRIM(CLEAN(Raw_Data!I134)))="Gold"),PROPER(TRIM(CLEAN(Raw_Data!I134))),"Unknown")</f>
        <v>Silver</v>
      </c>
      <c r="K134" s="11">
        <f>IF(ISNUMBER(Raw_Data!J134),Raw_Data!J134,IFERROR(DATEVALUE(Raw_Data!J134),""))</f>
        <v>44300</v>
      </c>
      <c r="L134" s="8" t="str">
        <f t="shared" si="24"/>
        <v/>
      </c>
      <c r="M134" s="8" t="str">
        <f t="shared" si="25"/>
        <v>CUS</v>
      </c>
      <c r="N134" s="8" t="str">
        <f t="shared" si="26"/>
        <v>00757</v>
      </c>
      <c r="O134" s="8" t="str">
        <f t="shared" si="27"/>
        <v>4781</v>
      </c>
      <c r="P134" s="8" t="str">
        <f t="shared" si="28"/>
        <v>Emad Salem - Silver</v>
      </c>
      <c r="Q134" s="12" t="str">
        <f>IF(B134="","Remove - missing ID",IF(OR(E134="",K134=""),"Remove - invalid date",IF(COUNTIF($B$2:B134,B134)&gt;1,"Remove - duplicate ID","Keep")))</f>
        <v>Keep</v>
      </c>
      <c r="R134" s="8" t="str">
        <f t="shared" si="29"/>
        <v>Yes</v>
      </c>
    </row>
    <row r="135" spans="1:18" x14ac:dyDescent="0.25">
      <c r="A135" s="8">
        <f>ROW(Raw_Data!A135)</f>
        <v>135</v>
      </c>
      <c r="B135" s="8" t="str">
        <f>TRIM(CLEAN(Raw_Data!A135))</f>
        <v>CUS01076</v>
      </c>
      <c r="C135" s="8" t="str">
        <f>IF(TRIM(CLEAN(Raw_Data!B135))="","Not Provided",PROPER(TRIM(CLEAN(Raw_Data!B135))))</f>
        <v>Nader Gamal</v>
      </c>
      <c r="D135" s="8" t="str">
        <f>IF(OR(PROPER(TRIM(CLEAN(Raw_Data!C135)))="Male",PROPER(TRIM(CLEAN(Raw_Data!C135)))="Female"),PROPER(TRIM(CLEAN(Raw_Data!C135))),"Unknown")</f>
        <v>Male</v>
      </c>
      <c r="E135" s="11">
        <f>IF(ISNUMBER(Raw_Data!D135),Raw_Data!D135,IFERROR(DATEVALUE(Raw_Data!D135),""))</f>
        <v>30353</v>
      </c>
      <c r="F135" s="8" t="str">
        <f>IF(TRIM(CLEAN(Raw_Data!E135))="","Not Provided",TRIM(CLEAN(Raw_Data!E135)))</f>
        <v>1289984645</v>
      </c>
      <c r="G135" s="8" t="str">
        <f>IF(TRIM(CLEAN(Raw_Data!F135))="","Not Provided",LOWER(TRIM(CLEAN(Raw_Data!F135))))</f>
        <v>nader.gamal12@gmail.com</v>
      </c>
      <c r="H135" s="8" t="str">
        <f>IF(TRIM(CLEAN(Raw_Data!G135))="","Not Provided",PROPER(TRIM(CLEAN(Raw_Data!G135))))</f>
        <v>Giza</v>
      </c>
      <c r="I135" s="8" t="str">
        <f>IF(TRIM(CLEAN(Raw_Data!H135))="","Not Provided",PROPER(TRIM(CLEAN(Raw_Data!H135))))</f>
        <v>Greater Cairo</v>
      </c>
      <c r="J135" s="8" t="str">
        <f>IF(OR(PROPER(TRIM(CLEAN(Raw_Data!I135)))="Bronze",PROPER(TRIM(CLEAN(Raw_Data!I135)))="Silver",PROPER(TRIM(CLEAN(Raw_Data!I135)))="Gold"),PROPER(TRIM(CLEAN(Raw_Data!I135))),"Unknown")</f>
        <v>Silver</v>
      </c>
      <c r="K135" s="11">
        <f>IF(ISNUMBER(Raw_Data!J135),Raw_Data!J135,IFERROR(DATEVALUE(Raw_Data!J135),""))</f>
        <v>45041</v>
      </c>
      <c r="L135" s="8" t="str">
        <f t="shared" si="24"/>
        <v>gmail.com</v>
      </c>
      <c r="M135" s="8" t="str">
        <f t="shared" si="25"/>
        <v>CUS</v>
      </c>
      <c r="N135" s="8" t="str">
        <f t="shared" si="26"/>
        <v>01076</v>
      </c>
      <c r="O135" s="8" t="str">
        <f t="shared" si="27"/>
        <v>4645</v>
      </c>
      <c r="P135" s="8" t="str">
        <f t="shared" si="28"/>
        <v>Nader Gamal - Silver</v>
      </c>
      <c r="Q135" s="12" t="str">
        <f>IF(B135="","Remove - missing ID",IF(OR(E135="",K135=""),"Remove - invalid date",IF(COUNTIF($B$2:B135,B135)&gt;1,"Remove - duplicate ID","Keep")))</f>
        <v>Keep</v>
      </c>
      <c r="R135" s="8" t="str">
        <f t="shared" si="29"/>
        <v>Yes</v>
      </c>
    </row>
    <row r="136" spans="1:18" x14ac:dyDescent="0.25">
      <c r="A136" s="8">
        <f>ROW(Raw_Data!A136)</f>
        <v>136</v>
      </c>
      <c r="B136" s="8" t="str">
        <f>TRIM(CLEAN(Raw_Data!A136))</f>
        <v>CUS00431</v>
      </c>
      <c r="C136" s="8" t="str">
        <f>IF(TRIM(CLEAN(Raw_Data!B136))="","Not Provided",PROPER(TRIM(CLEAN(Raw_Data!B136))))</f>
        <v>Nadia Ibrahim</v>
      </c>
      <c r="D136" s="8" t="str">
        <f>IF(OR(PROPER(TRIM(CLEAN(Raw_Data!C136)))="Male",PROPER(TRIM(CLEAN(Raw_Data!C136)))="Female"),PROPER(TRIM(CLEAN(Raw_Data!C136))),"Unknown")</f>
        <v>Female</v>
      </c>
      <c r="E136" s="11">
        <f>IF(ISNUMBER(Raw_Data!D136),Raw_Data!D136,IFERROR(DATEVALUE(Raw_Data!D136),""))</f>
        <v>25652</v>
      </c>
      <c r="F136" s="8" t="str">
        <f>IF(TRIM(CLEAN(Raw_Data!E136))="","Not Provided",TRIM(CLEAN(Raw_Data!E136)))</f>
        <v>1229674854</v>
      </c>
      <c r="G136" s="8" t="str">
        <f>IF(TRIM(CLEAN(Raw_Data!F136))="","Not Provided",LOWER(TRIM(CLEAN(Raw_Data!F136))))</f>
        <v>nadia.ibrahim62@gmail.com</v>
      </c>
      <c r="H136" s="8" t="str">
        <f>IF(TRIM(CLEAN(Raw_Data!G136))="","Not Provided",PROPER(TRIM(CLEAN(Raw_Data!G136))))</f>
        <v>Cairo</v>
      </c>
      <c r="I136" s="8" t="str">
        <f>IF(TRIM(CLEAN(Raw_Data!H136))="","Not Provided",PROPER(TRIM(CLEAN(Raw_Data!H136))))</f>
        <v>Greater Cairo</v>
      </c>
      <c r="J136" s="8" t="str">
        <f>IF(OR(PROPER(TRIM(CLEAN(Raw_Data!I136)))="Bronze",PROPER(TRIM(CLEAN(Raw_Data!I136)))="Silver",PROPER(TRIM(CLEAN(Raw_Data!I136)))="Gold"),PROPER(TRIM(CLEAN(Raw_Data!I136))),"Unknown")</f>
        <v>Unknown</v>
      </c>
      <c r="K136" s="11">
        <f>IF(ISNUMBER(Raw_Data!J136),Raw_Data!J136,IFERROR(DATEVALUE(Raw_Data!J136),""))</f>
        <v>44118</v>
      </c>
      <c r="L136" s="8" t="str">
        <f t="shared" si="24"/>
        <v>gmail.com</v>
      </c>
      <c r="M136" s="8" t="str">
        <f t="shared" si="25"/>
        <v>CUS</v>
      </c>
      <c r="N136" s="8" t="str">
        <f t="shared" si="26"/>
        <v>00431</v>
      </c>
      <c r="O136" s="8" t="str">
        <f t="shared" si="27"/>
        <v>4854</v>
      </c>
      <c r="P136" s="8" t="str">
        <f t="shared" si="28"/>
        <v>Nadia Ibrahim - Unknown</v>
      </c>
      <c r="Q136" s="12" t="str">
        <f>IF(B136="","Remove - missing ID",IF(OR(E136="",K136=""),"Remove - invalid date",IF(COUNTIF($B$2:B136,B136)&gt;1,"Remove - duplicate ID","Keep")))</f>
        <v>Keep</v>
      </c>
      <c r="R136" s="8" t="str">
        <f t="shared" si="29"/>
        <v>Yes</v>
      </c>
    </row>
    <row r="137" spans="1:18" x14ac:dyDescent="0.25">
      <c r="A137" s="8">
        <f>ROW(Raw_Data!A137)</f>
        <v>137</v>
      </c>
      <c r="B137" s="8" t="str">
        <f>TRIM(CLEAN(Raw_Data!A137))</f>
        <v>CUS00451</v>
      </c>
      <c r="C137" s="8" t="str">
        <f>IF(TRIM(CLEAN(Raw_Data!B137))="","Not Provided",PROPER(TRIM(CLEAN(Raw_Data!B137))))</f>
        <v>Radwa Hafez</v>
      </c>
      <c r="D137" s="8" t="str">
        <f>IF(OR(PROPER(TRIM(CLEAN(Raw_Data!C137)))="Male",PROPER(TRIM(CLEAN(Raw_Data!C137)))="Female"),PROPER(TRIM(CLEAN(Raw_Data!C137))),"Unknown")</f>
        <v>Female</v>
      </c>
      <c r="E137" s="11">
        <f>IF(ISNUMBER(Raw_Data!D137),Raw_Data!D137,IFERROR(DATEVALUE(Raw_Data!D137),""))</f>
        <v>32574</v>
      </c>
      <c r="F137" s="8" t="str">
        <f>IF(TRIM(CLEAN(Raw_Data!E137))="","Not Provided",TRIM(CLEAN(Raw_Data!E137)))</f>
        <v>1166250794</v>
      </c>
      <c r="G137" s="8" t="str">
        <f>IF(TRIM(CLEAN(Raw_Data!F137))="","Not Provided",LOWER(TRIM(CLEAN(Raw_Data!F137))))</f>
        <v>radwa.hafez56@hotmail.com</v>
      </c>
      <c r="H137" s="8" t="str">
        <f>IF(TRIM(CLEAN(Raw_Data!G137))="","Not Provided",PROPER(TRIM(CLEAN(Raw_Data!G137))))</f>
        <v>Hurghada</v>
      </c>
      <c r="I137" s="8" t="str">
        <f>IF(TRIM(CLEAN(Raw_Data!H137))="","Not Provided",PROPER(TRIM(CLEAN(Raw_Data!H137))))</f>
        <v>Red Sea</v>
      </c>
      <c r="J137" s="8" t="str">
        <f>IF(OR(PROPER(TRIM(CLEAN(Raw_Data!I137)))="Bronze",PROPER(TRIM(CLEAN(Raw_Data!I137)))="Silver",PROPER(TRIM(CLEAN(Raw_Data!I137)))="Gold"),PROPER(TRIM(CLEAN(Raw_Data!I137))),"Unknown")</f>
        <v>Silver</v>
      </c>
      <c r="K137" s="11">
        <f>IF(ISNUMBER(Raw_Data!J137),Raw_Data!J137,IFERROR(DATEVALUE(Raw_Data!J137),""))</f>
        <v>44944</v>
      </c>
      <c r="L137" s="8" t="str">
        <f t="shared" si="24"/>
        <v>hotmail.com</v>
      </c>
      <c r="M137" s="8" t="str">
        <f t="shared" si="25"/>
        <v>CUS</v>
      </c>
      <c r="N137" s="8" t="str">
        <f t="shared" si="26"/>
        <v>00451</v>
      </c>
      <c r="O137" s="8" t="str">
        <f t="shared" si="27"/>
        <v>0794</v>
      </c>
      <c r="P137" s="8" t="str">
        <f t="shared" si="28"/>
        <v>Radwa Hafez - Silver</v>
      </c>
      <c r="Q137" s="12" t="str">
        <f>IF(B137="","Remove - missing ID",IF(OR(E137="",K137=""),"Remove - invalid date",IF(COUNTIF($B$2:B137,B137)&gt;1,"Remove - duplicate ID","Keep")))</f>
        <v>Keep</v>
      </c>
      <c r="R137" s="8" t="str">
        <f t="shared" si="29"/>
        <v>Yes</v>
      </c>
    </row>
    <row r="138" spans="1:18" x14ac:dyDescent="0.25">
      <c r="A138" s="8">
        <f>ROW(Raw_Data!A138)</f>
        <v>138</v>
      </c>
      <c r="B138" s="8" t="str">
        <f>TRIM(CLEAN(Raw_Data!A138))</f>
        <v>CUS02003</v>
      </c>
      <c r="C138" s="8" t="str">
        <f>IF(TRIM(CLEAN(Raw_Data!B138))="","Not Provided",PROPER(TRIM(CLEAN(Raw_Data!B138))))</f>
        <v>Hossam Badawi</v>
      </c>
      <c r="D138" s="8" t="str">
        <f>IF(OR(PROPER(TRIM(CLEAN(Raw_Data!C138)))="Male",PROPER(TRIM(CLEAN(Raw_Data!C138)))="Female"),PROPER(TRIM(CLEAN(Raw_Data!C138))),"Unknown")</f>
        <v>Male</v>
      </c>
      <c r="E138" s="11">
        <f>IF(ISNUMBER(Raw_Data!D138),Raw_Data!D138,IFERROR(DATEVALUE(Raw_Data!D138),""))</f>
        <v>29260</v>
      </c>
      <c r="F138" s="8" t="str">
        <f>IF(TRIM(CLEAN(Raw_Data!E138))="","Not Provided",TRIM(CLEAN(Raw_Data!E138)))</f>
        <v>1094293030</v>
      </c>
      <c r="G138" s="8" t="str">
        <f>IF(TRIM(CLEAN(Raw_Data!F138))="","Not Provided",LOWER(TRIM(CLEAN(Raw_Data!F138))))</f>
        <v>hossam.badawi73@outlook.com</v>
      </c>
      <c r="H138" s="8" t="str">
        <f>IF(TRIM(CLEAN(Raw_Data!G138))="","Not Provided",PROPER(TRIM(CLEAN(Raw_Data!G138))))</f>
        <v>Suez</v>
      </c>
      <c r="I138" s="8" t="str">
        <f>IF(TRIM(CLEAN(Raw_Data!H138))="","Not Provided",PROPER(TRIM(CLEAN(Raw_Data!H138))))</f>
        <v>Canal Zone</v>
      </c>
      <c r="J138" s="8" t="str">
        <f>IF(OR(PROPER(TRIM(CLEAN(Raw_Data!I138)))="Bronze",PROPER(TRIM(CLEAN(Raw_Data!I138)))="Silver",PROPER(TRIM(CLEAN(Raw_Data!I138)))="Gold"),PROPER(TRIM(CLEAN(Raw_Data!I138))),"Unknown")</f>
        <v>Bronze</v>
      </c>
      <c r="K138" s="11">
        <f>IF(ISNUMBER(Raw_Data!J138),Raw_Data!J138,IFERROR(DATEVALUE(Raw_Data!J138),""))</f>
        <v>44679</v>
      </c>
      <c r="L138" s="8" t="str">
        <f t="shared" si="24"/>
        <v>outlook.com</v>
      </c>
      <c r="M138" s="8" t="str">
        <f t="shared" si="25"/>
        <v>CUS</v>
      </c>
      <c r="N138" s="8" t="str">
        <f t="shared" si="26"/>
        <v>02003</v>
      </c>
      <c r="O138" s="8" t="str">
        <f t="shared" si="27"/>
        <v>3030</v>
      </c>
      <c r="P138" s="8" t="str">
        <f t="shared" si="28"/>
        <v>Hossam Badawi - Bronze</v>
      </c>
      <c r="Q138" s="12" t="str">
        <f>IF(B138="","Remove - missing ID",IF(OR(E138="",K138=""),"Remove - invalid date",IF(COUNTIF($B$2:B138,B138)&gt;1,"Remove - duplicate ID","Keep")))</f>
        <v>Keep</v>
      </c>
      <c r="R138" s="8" t="str">
        <f t="shared" si="29"/>
        <v>Yes</v>
      </c>
    </row>
    <row r="139" spans="1:18" x14ac:dyDescent="0.25">
      <c r="A139" s="8">
        <f>ROW(Raw_Data!A139)</f>
        <v>139</v>
      </c>
      <c r="B139" s="8" t="str">
        <f>TRIM(CLEAN(Raw_Data!A139))</f>
        <v>CUS01838</v>
      </c>
      <c r="C139" s="8" t="str">
        <f>IF(TRIM(CLEAN(Raw_Data!B139))="","Not Provided",PROPER(TRIM(CLEAN(Raw_Data!B139))))</f>
        <v>Bassem Mahmoud</v>
      </c>
      <c r="D139" s="8" t="str">
        <f>IF(OR(PROPER(TRIM(CLEAN(Raw_Data!C139)))="Male",PROPER(TRIM(CLEAN(Raw_Data!C139)))="Female"),PROPER(TRIM(CLEAN(Raw_Data!C139))),"Unknown")</f>
        <v>Male</v>
      </c>
      <c r="E139" s="11">
        <f>IF(ISNUMBER(Raw_Data!D139),Raw_Data!D139,IFERROR(DATEVALUE(Raw_Data!D139),""))</f>
        <v>32116</v>
      </c>
      <c r="F139" s="8" t="str">
        <f>IF(TRIM(CLEAN(Raw_Data!E139))="","Not Provided",TRIM(CLEAN(Raw_Data!E139)))</f>
        <v>1089306711</v>
      </c>
      <c r="G139" s="8" t="str">
        <f>IF(TRIM(CLEAN(Raw_Data!F139))="","Not Provided",LOWER(TRIM(CLEAN(Raw_Data!F139))))</f>
        <v>bassem.mahmoud60@hotmail.com</v>
      </c>
      <c r="H139" s="8" t="str">
        <f>IF(TRIM(CLEAN(Raw_Data!G139))="","Not Provided",PROPER(TRIM(CLEAN(Raw_Data!G139))))</f>
        <v>Giza</v>
      </c>
      <c r="I139" s="8" t="str">
        <f>IF(TRIM(CLEAN(Raw_Data!H139))="","Not Provided",PROPER(TRIM(CLEAN(Raw_Data!H139))))</f>
        <v>Greater Cairo</v>
      </c>
      <c r="J139" s="8" t="str">
        <f>IF(OR(PROPER(TRIM(CLEAN(Raw_Data!I139)))="Bronze",PROPER(TRIM(CLEAN(Raw_Data!I139)))="Silver",PROPER(TRIM(CLEAN(Raw_Data!I139)))="Gold"),PROPER(TRIM(CLEAN(Raw_Data!I139))),"Unknown")</f>
        <v>Bronze</v>
      </c>
      <c r="K139" s="11">
        <f>IF(ISNUMBER(Raw_Data!J139),Raw_Data!J139,IFERROR(DATEVALUE(Raw_Data!J139),""))</f>
        <v>44658</v>
      </c>
      <c r="L139" s="8" t="str">
        <f t="shared" si="24"/>
        <v>hotmail.com</v>
      </c>
      <c r="M139" s="8" t="str">
        <f t="shared" si="25"/>
        <v>CUS</v>
      </c>
      <c r="N139" s="8" t="str">
        <f t="shared" si="26"/>
        <v>01838</v>
      </c>
      <c r="O139" s="8" t="str">
        <f t="shared" si="27"/>
        <v>6711</v>
      </c>
      <c r="P139" s="8" t="str">
        <f t="shared" si="28"/>
        <v>Bassem Mahmoud - Bronze</v>
      </c>
      <c r="Q139" s="12" t="str">
        <f>IF(B139="","Remove - missing ID",IF(OR(E139="",K139=""),"Remove - invalid date",IF(COUNTIF($B$2:B139,B139)&gt;1,"Remove - duplicate ID","Keep")))</f>
        <v>Keep</v>
      </c>
      <c r="R139" s="8" t="str">
        <f t="shared" si="29"/>
        <v>Yes</v>
      </c>
    </row>
    <row r="140" spans="1:18" x14ac:dyDescent="0.25">
      <c r="A140" s="8">
        <f>ROW(Raw_Data!A140)</f>
        <v>140</v>
      </c>
      <c r="B140" s="8" t="str">
        <f>TRIM(CLEAN(Raw_Data!A140))</f>
        <v>CUS01689</v>
      </c>
      <c r="C140" s="8" t="str">
        <f>IF(TRIM(CLEAN(Raw_Data!B140))="","Not Provided",PROPER(TRIM(CLEAN(Raw_Data!B140))))</f>
        <v>Mona Amin</v>
      </c>
      <c r="D140" s="8" t="str">
        <f>IF(OR(PROPER(TRIM(CLEAN(Raw_Data!C140)))="Male",PROPER(TRIM(CLEAN(Raw_Data!C140)))="Female"),PROPER(TRIM(CLEAN(Raw_Data!C140))),"Unknown")</f>
        <v>Female</v>
      </c>
      <c r="E140" s="11">
        <f>IF(ISNUMBER(Raw_Data!D140),Raw_Data!D140,IFERROR(DATEVALUE(Raw_Data!D140),""))</f>
        <v>33944</v>
      </c>
      <c r="F140" s="8" t="str">
        <f>IF(TRIM(CLEAN(Raw_Data!E140))="","Not Provided",TRIM(CLEAN(Raw_Data!E140)))</f>
        <v>1170597233</v>
      </c>
      <c r="G140" s="8" t="str">
        <f>IF(TRIM(CLEAN(Raw_Data!F140))="","Not Provided",LOWER(TRIM(CLEAN(Raw_Data!F140))))</f>
        <v>Not Provided</v>
      </c>
      <c r="H140" s="8" t="str">
        <f>IF(TRIM(CLEAN(Raw_Data!G140))="","Not Provided",PROPER(TRIM(CLEAN(Raw_Data!G140))))</f>
        <v>Mansoura</v>
      </c>
      <c r="I140" s="8" t="str">
        <f>IF(TRIM(CLEAN(Raw_Data!H140))="","Not Provided",PROPER(TRIM(CLEAN(Raw_Data!H140))))</f>
        <v>Nile Delta</v>
      </c>
      <c r="J140" s="8" t="str">
        <f>IF(OR(PROPER(TRIM(CLEAN(Raw_Data!I140)))="Bronze",PROPER(TRIM(CLEAN(Raw_Data!I140)))="Silver",PROPER(TRIM(CLEAN(Raw_Data!I140)))="Gold"),PROPER(TRIM(CLEAN(Raw_Data!I140))),"Unknown")</f>
        <v>Bronze</v>
      </c>
      <c r="K140" s="11">
        <f>IF(ISNUMBER(Raw_Data!J140),Raw_Data!J140,IFERROR(DATEVALUE(Raw_Data!J140),""))</f>
        <v>44973</v>
      </c>
      <c r="L140" s="8" t="str">
        <f t="shared" si="24"/>
        <v/>
      </c>
      <c r="M140" s="8" t="str">
        <f t="shared" si="25"/>
        <v>CUS</v>
      </c>
      <c r="N140" s="8" t="str">
        <f t="shared" si="26"/>
        <v>01689</v>
      </c>
      <c r="O140" s="8" t="str">
        <f t="shared" si="27"/>
        <v>7233</v>
      </c>
      <c r="P140" s="8" t="str">
        <f t="shared" si="28"/>
        <v>Mona Amin - Bronze</v>
      </c>
      <c r="Q140" s="12" t="str">
        <f>IF(B140="","Remove - missing ID",IF(OR(E140="",K140=""),"Remove - invalid date",IF(COUNTIF($B$2:B140,B140)&gt;1,"Remove - duplicate ID","Keep")))</f>
        <v>Keep</v>
      </c>
      <c r="R140" s="8" t="str">
        <f t="shared" si="29"/>
        <v>Yes</v>
      </c>
    </row>
    <row r="141" spans="1:18" x14ac:dyDescent="0.25">
      <c r="A141" s="8">
        <f>ROW(Raw_Data!A141)</f>
        <v>141</v>
      </c>
      <c r="B141" s="8" t="str">
        <f>TRIM(CLEAN(Raw_Data!A141))</f>
        <v>CUS00692</v>
      </c>
      <c r="C141" s="8" t="str">
        <f>IF(TRIM(CLEAN(Raw_Data!B141))="","Not Provided",PROPER(TRIM(CLEAN(Raw_Data!B141))))</f>
        <v>Essam Younis</v>
      </c>
      <c r="D141" s="8" t="str">
        <f>IF(OR(PROPER(TRIM(CLEAN(Raw_Data!C141)))="Male",PROPER(TRIM(CLEAN(Raw_Data!C141)))="Female"),PROPER(TRIM(CLEAN(Raw_Data!C141))),"Unknown")</f>
        <v>Male</v>
      </c>
      <c r="E141" s="11">
        <f>IF(ISNUMBER(Raw_Data!D141),Raw_Data!D141,IFERROR(DATEVALUE(Raw_Data!D141),""))</f>
        <v>28962</v>
      </c>
      <c r="F141" s="8" t="str">
        <f>IF(TRIM(CLEAN(Raw_Data!E141))="","Not Provided",TRIM(CLEAN(Raw_Data!E141)))</f>
        <v>1139045233</v>
      </c>
      <c r="G141" s="8" t="str">
        <f>IF(TRIM(CLEAN(Raw_Data!F141))="","Not Provided",LOWER(TRIM(CLEAN(Raw_Data!F141))))</f>
        <v>essam.younis81@hotmail.com</v>
      </c>
      <c r="H141" s="8" t="str">
        <f>IF(TRIM(CLEAN(Raw_Data!G141))="","Not Provided",PROPER(TRIM(CLEAN(Raw_Data!G141))))</f>
        <v>Giza</v>
      </c>
      <c r="I141" s="8" t="str">
        <f>IF(TRIM(CLEAN(Raw_Data!H141))="","Not Provided",PROPER(TRIM(CLEAN(Raw_Data!H141))))</f>
        <v>Greater Cairo</v>
      </c>
      <c r="J141" s="8" t="str">
        <f>IF(OR(PROPER(TRIM(CLEAN(Raw_Data!I141)))="Bronze",PROPER(TRIM(CLEAN(Raw_Data!I141)))="Silver",PROPER(TRIM(CLEAN(Raw_Data!I141)))="Gold"),PROPER(TRIM(CLEAN(Raw_Data!I141))),"Unknown")</f>
        <v>Silver</v>
      </c>
      <c r="K141" s="11">
        <f>IF(ISNUMBER(Raw_Data!J141),Raw_Data!J141,IFERROR(DATEVALUE(Raw_Data!J141),""))</f>
        <v>45203</v>
      </c>
      <c r="L141" s="8" t="str">
        <f t="shared" si="24"/>
        <v>hotmail.com</v>
      </c>
      <c r="M141" s="8" t="str">
        <f t="shared" si="25"/>
        <v>CUS</v>
      </c>
      <c r="N141" s="8" t="str">
        <f t="shared" si="26"/>
        <v>00692</v>
      </c>
      <c r="O141" s="8" t="str">
        <f t="shared" si="27"/>
        <v>5233</v>
      </c>
      <c r="P141" s="8" t="str">
        <f t="shared" si="28"/>
        <v>Essam Younis - Silver</v>
      </c>
      <c r="Q141" s="12" t="str">
        <f>IF(B141="","Remove - missing ID",IF(OR(E141="",K141=""),"Remove - invalid date",IF(COUNTIF($B$2:B141,B141)&gt;1,"Remove - duplicate ID","Keep")))</f>
        <v>Keep</v>
      </c>
      <c r="R141" s="8" t="str">
        <f t="shared" si="29"/>
        <v>Yes</v>
      </c>
    </row>
    <row r="142" spans="1:18" x14ac:dyDescent="0.25">
      <c r="A142" s="8">
        <f>ROW(Raw_Data!A142)</f>
        <v>142</v>
      </c>
      <c r="B142" s="8" t="str">
        <f>TRIM(CLEAN(Raw_Data!A142))</f>
        <v>CUS02638</v>
      </c>
      <c r="C142" s="8" t="str">
        <f>IF(TRIM(CLEAN(Raw_Data!B142))="","Not Provided",PROPER(TRIM(CLEAN(Raw_Data!B142))))</f>
        <v>Ashraf Sayed</v>
      </c>
      <c r="D142" s="8" t="str">
        <f>IF(OR(PROPER(TRIM(CLEAN(Raw_Data!C142)))="Male",PROPER(TRIM(CLEAN(Raw_Data!C142)))="Female"),PROPER(TRIM(CLEAN(Raw_Data!C142))),"Unknown")</f>
        <v>Male</v>
      </c>
      <c r="E142" s="11">
        <f>IF(ISNUMBER(Raw_Data!D142),Raw_Data!D142,IFERROR(DATEVALUE(Raw_Data!D142),""))</f>
        <v>31447</v>
      </c>
      <c r="F142" s="8" t="str">
        <f>IF(TRIM(CLEAN(Raw_Data!E142))="","Not Provided",TRIM(CLEAN(Raw_Data!E142)))</f>
        <v>1287671828</v>
      </c>
      <c r="G142" s="8" t="str">
        <f>IF(TRIM(CLEAN(Raw_Data!F142))="","Not Provided",LOWER(TRIM(CLEAN(Raw_Data!F142))))</f>
        <v>ashraf.sayed60@yahoo.com</v>
      </c>
      <c r="H142" s="8" t="str">
        <f>IF(TRIM(CLEAN(Raw_Data!G142))="","Not Provided",PROPER(TRIM(CLEAN(Raw_Data!G142))))</f>
        <v>Hurghada</v>
      </c>
      <c r="I142" s="8" t="str">
        <f>IF(TRIM(CLEAN(Raw_Data!H142))="","Not Provided",PROPER(TRIM(CLEAN(Raw_Data!H142))))</f>
        <v>Red Sea</v>
      </c>
      <c r="J142" s="8" t="str">
        <f>IF(OR(PROPER(TRIM(CLEAN(Raw_Data!I142)))="Bronze",PROPER(TRIM(CLEAN(Raw_Data!I142)))="Silver",PROPER(TRIM(CLEAN(Raw_Data!I142)))="Gold"),PROPER(TRIM(CLEAN(Raw_Data!I142))),"Unknown")</f>
        <v>Gold</v>
      </c>
      <c r="K142" s="11">
        <f>IF(ISNUMBER(Raw_Data!J142),Raw_Data!J142,IFERROR(DATEVALUE(Raw_Data!J142),""))</f>
        <v>44141</v>
      </c>
      <c r="L142" s="8" t="str">
        <f t="shared" si="24"/>
        <v>yahoo.com</v>
      </c>
      <c r="M142" s="8" t="str">
        <f t="shared" si="25"/>
        <v>CUS</v>
      </c>
      <c r="N142" s="8" t="str">
        <f t="shared" si="26"/>
        <v>02638</v>
      </c>
      <c r="O142" s="8" t="str">
        <f t="shared" si="27"/>
        <v>1828</v>
      </c>
      <c r="P142" s="8" t="str">
        <f t="shared" si="28"/>
        <v>Ashraf Sayed - Gold</v>
      </c>
      <c r="Q142" s="12" t="str">
        <f>IF(B142="","Remove - missing ID",IF(OR(E142="",K142=""),"Remove - invalid date",IF(COUNTIF($B$2:B142,B142)&gt;1,"Remove - duplicate ID","Keep")))</f>
        <v>Keep</v>
      </c>
      <c r="R142" s="8" t="str">
        <f t="shared" si="29"/>
        <v>Yes</v>
      </c>
    </row>
    <row r="143" spans="1:18" x14ac:dyDescent="0.25">
      <c r="A143" s="8">
        <f>ROW(Raw_Data!A143)</f>
        <v>143</v>
      </c>
      <c r="B143" s="8" t="str">
        <f>TRIM(CLEAN(Raw_Data!A143))</f>
        <v>CUS01850</v>
      </c>
      <c r="C143" s="8" t="str">
        <f>IF(TRIM(CLEAN(Raw_Data!B143))="","Not Provided",PROPER(TRIM(CLEAN(Raw_Data!B143))))</f>
        <v>Maged Ramadan</v>
      </c>
      <c r="D143" s="8" t="str">
        <f>IF(OR(PROPER(TRIM(CLEAN(Raw_Data!C143)))="Male",PROPER(TRIM(CLEAN(Raw_Data!C143)))="Female"),PROPER(TRIM(CLEAN(Raw_Data!C143))),"Unknown")</f>
        <v>Male</v>
      </c>
      <c r="E143" s="11">
        <f>IF(ISNUMBER(Raw_Data!D143),Raw_Data!D143,IFERROR(DATEVALUE(Raw_Data!D143),""))</f>
        <v>37849</v>
      </c>
      <c r="F143" s="8" t="str">
        <f>IF(TRIM(CLEAN(Raw_Data!E143))="","Not Provided",TRIM(CLEAN(Raw_Data!E143)))</f>
        <v>1159138081</v>
      </c>
      <c r="G143" s="8" t="str">
        <f>IF(TRIM(CLEAN(Raw_Data!F143))="","Not Provided",LOWER(TRIM(CLEAN(Raw_Data!F143))))</f>
        <v>Not Provided</v>
      </c>
      <c r="H143" s="8" t="str">
        <f>IF(TRIM(CLEAN(Raw_Data!G143))="","Not Provided",PROPER(TRIM(CLEAN(Raw_Data!G143))))</f>
        <v>Mansoura</v>
      </c>
      <c r="I143" s="8" t="str">
        <f>IF(TRIM(CLEAN(Raw_Data!H143))="","Not Provided",PROPER(TRIM(CLEAN(Raw_Data!H143))))</f>
        <v>Nile Delta</v>
      </c>
      <c r="J143" s="8" t="str">
        <f>IF(OR(PROPER(TRIM(CLEAN(Raw_Data!I143)))="Bronze",PROPER(TRIM(CLEAN(Raw_Data!I143)))="Silver",PROPER(TRIM(CLEAN(Raw_Data!I143)))="Gold"),PROPER(TRIM(CLEAN(Raw_Data!I143))),"Unknown")</f>
        <v>Bronze</v>
      </c>
      <c r="K143" s="11">
        <f>IF(ISNUMBER(Raw_Data!J143),Raw_Data!J143,IFERROR(DATEVALUE(Raw_Data!J143),""))</f>
        <v>44608</v>
      </c>
      <c r="L143" s="8" t="str">
        <f t="shared" si="24"/>
        <v/>
      </c>
      <c r="M143" s="8" t="str">
        <f t="shared" si="25"/>
        <v>CUS</v>
      </c>
      <c r="N143" s="8" t="str">
        <f t="shared" si="26"/>
        <v>01850</v>
      </c>
      <c r="O143" s="8" t="str">
        <f t="shared" si="27"/>
        <v>8081</v>
      </c>
      <c r="P143" s="8" t="str">
        <f t="shared" si="28"/>
        <v>Maged Ramadan - Bronze</v>
      </c>
      <c r="Q143" s="12" t="str">
        <f>IF(B143="","Remove - missing ID",IF(OR(E143="",K143=""),"Remove - invalid date",IF(COUNTIF($B$2:B143,B143)&gt;1,"Remove - duplicate ID","Keep")))</f>
        <v>Keep</v>
      </c>
      <c r="R143" s="8" t="str">
        <f t="shared" si="29"/>
        <v>Yes</v>
      </c>
    </row>
    <row r="144" spans="1:18" x14ac:dyDescent="0.25">
      <c r="A144" s="8">
        <f>ROW(Raw_Data!A144)</f>
        <v>144</v>
      </c>
      <c r="B144" s="8" t="str">
        <f>TRIM(CLEAN(Raw_Data!A144))</f>
        <v>CUS01430</v>
      </c>
      <c r="C144" s="8" t="str">
        <f>IF(TRIM(CLEAN(Raw_Data!B144))="","Not Provided",PROPER(TRIM(CLEAN(Raw_Data!B144))))</f>
        <v>Heba Zaki</v>
      </c>
      <c r="D144" s="8" t="str">
        <f>IF(OR(PROPER(TRIM(CLEAN(Raw_Data!C144)))="Male",PROPER(TRIM(CLEAN(Raw_Data!C144)))="Female"),PROPER(TRIM(CLEAN(Raw_Data!C144))),"Unknown")</f>
        <v>Female</v>
      </c>
      <c r="E144" s="11">
        <f>IF(ISNUMBER(Raw_Data!D144),Raw_Data!D144,IFERROR(DATEVALUE(Raw_Data!D144),""))</f>
        <v>30475</v>
      </c>
      <c r="F144" s="8" t="str">
        <f>IF(TRIM(CLEAN(Raw_Data!E144))="","Not Provided",TRIM(CLEAN(Raw_Data!E144)))</f>
        <v>1028692391</v>
      </c>
      <c r="G144" s="8" t="str">
        <f>IF(TRIM(CLEAN(Raw_Data!F144))="","Not Provided",LOWER(TRIM(CLEAN(Raw_Data!F144))))</f>
        <v>heba.zaki88@yahoo.com</v>
      </c>
      <c r="H144" s="8" t="str">
        <f>IF(TRIM(CLEAN(Raw_Data!G144))="","Not Provided",PROPER(TRIM(CLEAN(Raw_Data!G144))))</f>
        <v>Luxor</v>
      </c>
      <c r="I144" s="8" t="str">
        <f>IF(TRIM(CLEAN(Raw_Data!H144))="","Not Provided",PROPER(TRIM(CLEAN(Raw_Data!H144))))</f>
        <v>Upper Egypt</v>
      </c>
      <c r="J144" s="8" t="str">
        <f>IF(OR(PROPER(TRIM(CLEAN(Raw_Data!I144)))="Bronze",PROPER(TRIM(CLEAN(Raw_Data!I144)))="Silver",PROPER(TRIM(CLEAN(Raw_Data!I144)))="Gold"),PROPER(TRIM(CLEAN(Raw_Data!I144))),"Unknown")</f>
        <v>Gold</v>
      </c>
      <c r="K144" s="11">
        <f>IF(ISNUMBER(Raw_Data!J144),Raw_Data!J144,IFERROR(DATEVALUE(Raw_Data!J144),""))</f>
        <v>44428</v>
      </c>
      <c r="L144" s="8" t="str">
        <f t="shared" si="24"/>
        <v>yahoo.com</v>
      </c>
      <c r="M144" s="8" t="str">
        <f t="shared" si="25"/>
        <v>CUS</v>
      </c>
      <c r="N144" s="8" t="str">
        <f t="shared" si="26"/>
        <v>01430</v>
      </c>
      <c r="O144" s="8" t="str">
        <f t="shared" si="27"/>
        <v>2391</v>
      </c>
      <c r="P144" s="8" t="str">
        <f t="shared" si="28"/>
        <v>Heba Zaki - Gold</v>
      </c>
      <c r="Q144" s="12" t="str">
        <f>IF(B144="","Remove - missing ID",IF(OR(E144="",K144=""),"Remove - invalid date",IF(COUNTIF($B$2:B144,B144)&gt;1,"Remove - duplicate ID","Keep")))</f>
        <v>Keep</v>
      </c>
      <c r="R144" s="8" t="str">
        <f t="shared" si="29"/>
        <v>Yes</v>
      </c>
    </row>
    <row r="145" spans="1:18" x14ac:dyDescent="0.25">
      <c r="A145" s="8">
        <f>ROW(Raw_Data!A145)</f>
        <v>145</v>
      </c>
      <c r="B145" s="8" t="str">
        <f>TRIM(CLEAN(Raw_Data!A145))</f>
        <v>CUS00760</v>
      </c>
      <c r="C145" s="8" t="str">
        <f>IF(TRIM(CLEAN(Raw_Data!B145))="","Not Provided",PROPER(TRIM(CLEAN(Raw_Data!B145))))</f>
        <v>Mohamed Ramadan</v>
      </c>
      <c r="D145" s="8" t="str">
        <f>IF(OR(PROPER(TRIM(CLEAN(Raw_Data!C145)))="Male",PROPER(TRIM(CLEAN(Raw_Data!C145)))="Female"),PROPER(TRIM(CLEAN(Raw_Data!C145))),"Unknown")</f>
        <v>Male</v>
      </c>
      <c r="E145" s="11">
        <f>IF(ISNUMBER(Raw_Data!D145),Raw_Data!D145,IFERROR(DATEVALUE(Raw_Data!D145),""))</f>
        <v>36657</v>
      </c>
      <c r="F145" s="8" t="str">
        <f>IF(TRIM(CLEAN(Raw_Data!E145))="","Not Provided",TRIM(CLEAN(Raw_Data!E145)))</f>
        <v>1250341681</v>
      </c>
      <c r="G145" s="8" t="str">
        <f>IF(TRIM(CLEAN(Raw_Data!F145))="","Not Provided",LOWER(TRIM(CLEAN(Raw_Data!F145))))</f>
        <v>mohamed.ramadan39@hotmail.com</v>
      </c>
      <c r="H145" s="8" t="str">
        <f>IF(TRIM(CLEAN(Raw_Data!G145))="","Not Provided",PROPER(TRIM(CLEAN(Raw_Data!G145))))</f>
        <v>Hurghada</v>
      </c>
      <c r="I145" s="8" t="str">
        <f>IF(TRIM(CLEAN(Raw_Data!H145))="","Not Provided",PROPER(TRIM(CLEAN(Raw_Data!H145))))</f>
        <v>Red Sea</v>
      </c>
      <c r="J145" s="8" t="str">
        <f>IF(OR(PROPER(TRIM(CLEAN(Raw_Data!I145)))="Bronze",PROPER(TRIM(CLEAN(Raw_Data!I145)))="Silver",PROPER(TRIM(CLEAN(Raw_Data!I145)))="Gold"),PROPER(TRIM(CLEAN(Raw_Data!I145))),"Unknown")</f>
        <v>Bronze</v>
      </c>
      <c r="K145" s="11">
        <f>IF(ISNUMBER(Raw_Data!J145),Raw_Data!J145,IFERROR(DATEVALUE(Raw_Data!J145),""))</f>
        <v>43908</v>
      </c>
      <c r="L145" s="8" t="str">
        <f t="shared" si="24"/>
        <v>hotmail.com</v>
      </c>
      <c r="M145" s="8" t="str">
        <f t="shared" si="25"/>
        <v>CUS</v>
      </c>
      <c r="N145" s="8" t="str">
        <f t="shared" si="26"/>
        <v>00760</v>
      </c>
      <c r="O145" s="8" t="str">
        <f t="shared" si="27"/>
        <v>1681</v>
      </c>
      <c r="P145" s="8" t="str">
        <f t="shared" si="28"/>
        <v>Mohamed Ramadan - Bronze</v>
      </c>
      <c r="Q145" s="12" t="str">
        <f>IF(B145="","Remove - missing ID",IF(OR(E145="",K145=""),"Remove - invalid date",IF(COUNTIF($B$2:B145,B145)&gt;1,"Remove - duplicate ID","Keep")))</f>
        <v>Keep</v>
      </c>
      <c r="R145" s="8" t="str">
        <f t="shared" si="29"/>
        <v>Yes</v>
      </c>
    </row>
    <row r="146" spans="1:18" x14ac:dyDescent="0.25">
      <c r="A146" s="8">
        <f>ROW(Raw_Data!A146)</f>
        <v>146</v>
      </c>
      <c r="B146" s="8" t="str">
        <f>TRIM(CLEAN(Raw_Data!A146))</f>
        <v>CUS00185</v>
      </c>
      <c r="C146" s="8" t="str">
        <f>IF(TRIM(CLEAN(Raw_Data!B146))="","Not Provided",PROPER(TRIM(CLEAN(Raw_Data!B146))))</f>
        <v>Mariam Nasser</v>
      </c>
      <c r="D146" s="8" t="str">
        <f>IF(OR(PROPER(TRIM(CLEAN(Raw_Data!C146)))="Male",PROPER(TRIM(CLEAN(Raw_Data!C146)))="Female"),PROPER(TRIM(CLEAN(Raw_Data!C146))),"Unknown")</f>
        <v>Female</v>
      </c>
      <c r="E146" s="11">
        <f>IF(ISNUMBER(Raw_Data!D146),Raw_Data!D146,IFERROR(DATEVALUE(Raw_Data!D146),""))</f>
        <v>26524</v>
      </c>
      <c r="F146" s="8" t="str">
        <f>IF(TRIM(CLEAN(Raw_Data!E146))="","Not Provided",TRIM(CLEAN(Raw_Data!E146)))</f>
        <v>1280107942</v>
      </c>
      <c r="G146" s="8" t="str">
        <f>IF(TRIM(CLEAN(Raw_Data!F146))="","Not Provided",LOWER(TRIM(CLEAN(Raw_Data!F146))))</f>
        <v>mariam.nasser12@hotmail.com</v>
      </c>
      <c r="H146" s="8" t="str">
        <f>IF(TRIM(CLEAN(Raw_Data!G146))="","Not Provided",PROPER(TRIM(CLEAN(Raw_Data!G146))))</f>
        <v>Cairo</v>
      </c>
      <c r="I146" s="8" t="str">
        <f>IF(TRIM(CLEAN(Raw_Data!H146))="","Not Provided",PROPER(TRIM(CLEAN(Raw_Data!H146))))</f>
        <v>Greater Cairo</v>
      </c>
      <c r="J146" s="8" t="str">
        <f>IF(OR(PROPER(TRIM(CLEAN(Raw_Data!I146)))="Bronze",PROPER(TRIM(CLEAN(Raw_Data!I146)))="Silver",PROPER(TRIM(CLEAN(Raw_Data!I146)))="Gold"),PROPER(TRIM(CLEAN(Raw_Data!I146))),"Unknown")</f>
        <v>Silver</v>
      </c>
      <c r="K146" s="11">
        <f>IF(ISNUMBER(Raw_Data!J146),Raw_Data!J146,IFERROR(DATEVALUE(Raw_Data!J146),""))</f>
        <v>44930</v>
      </c>
      <c r="L146" s="8" t="str">
        <f t="shared" si="24"/>
        <v>hotmail.com</v>
      </c>
      <c r="M146" s="8" t="str">
        <f t="shared" si="25"/>
        <v>CUS</v>
      </c>
      <c r="N146" s="8" t="str">
        <f t="shared" si="26"/>
        <v>00185</v>
      </c>
      <c r="O146" s="8" t="str">
        <f t="shared" si="27"/>
        <v>7942</v>
      </c>
      <c r="P146" s="8" t="str">
        <f t="shared" si="28"/>
        <v>Mariam Nasser - Silver</v>
      </c>
      <c r="Q146" s="12" t="str">
        <f>IF(B146="","Remove - missing ID",IF(OR(E146="",K146=""),"Remove - invalid date",IF(COUNTIF($B$2:B146,B146)&gt;1,"Remove - duplicate ID","Keep")))</f>
        <v>Keep</v>
      </c>
      <c r="R146" s="8" t="str">
        <f t="shared" si="29"/>
        <v>Yes</v>
      </c>
    </row>
    <row r="147" spans="1:18" x14ac:dyDescent="0.25">
      <c r="A147" s="8">
        <f>ROW(Raw_Data!A147)</f>
        <v>147</v>
      </c>
      <c r="B147" s="8" t="str">
        <f>TRIM(CLEAN(Raw_Data!A147))</f>
        <v>CUS01236</v>
      </c>
      <c r="C147" s="8" t="str">
        <f>IF(TRIM(CLEAN(Raw_Data!B147))="","Not Provided",PROPER(TRIM(CLEAN(Raw_Data!B147))))</f>
        <v>Manar Ahmed</v>
      </c>
      <c r="D147" s="8" t="str">
        <f>IF(OR(PROPER(TRIM(CLEAN(Raw_Data!C147)))="Male",PROPER(TRIM(CLEAN(Raw_Data!C147)))="Female"),PROPER(TRIM(CLEAN(Raw_Data!C147))),"Unknown")</f>
        <v>Female</v>
      </c>
      <c r="E147" s="11">
        <f>IF(ISNUMBER(Raw_Data!D147),Raw_Data!D147,IFERROR(DATEVALUE(Raw_Data!D147),""))</f>
        <v>36899</v>
      </c>
      <c r="F147" s="8" t="str">
        <f>IF(TRIM(CLEAN(Raw_Data!E147))="","Not Provided",TRIM(CLEAN(Raw_Data!E147)))</f>
        <v>1048259629</v>
      </c>
      <c r="G147" s="8" t="str">
        <f>IF(TRIM(CLEAN(Raw_Data!F147))="","Not Provided",LOWER(TRIM(CLEAN(Raw_Data!F147))))</f>
        <v>Not Provided</v>
      </c>
      <c r="H147" s="8" t="str">
        <f>IF(TRIM(CLEAN(Raw_Data!G147))="","Not Provided",PROPER(TRIM(CLEAN(Raw_Data!G147))))</f>
        <v>Giza</v>
      </c>
      <c r="I147" s="8" t="str">
        <f>IF(TRIM(CLEAN(Raw_Data!H147))="","Not Provided",PROPER(TRIM(CLEAN(Raw_Data!H147))))</f>
        <v>Greater Cairo</v>
      </c>
      <c r="J147" s="8" t="str">
        <f>IF(OR(PROPER(TRIM(CLEAN(Raw_Data!I147)))="Bronze",PROPER(TRIM(CLEAN(Raw_Data!I147)))="Silver",PROPER(TRIM(CLEAN(Raw_Data!I147)))="Gold"),PROPER(TRIM(CLEAN(Raw_Data!I147))),"Unknown")</f>
        <v>Bronze</v>
      </c>
      <c r="K147" s="11">
        <f>IF(ISNUMBER(Raw_Data!J147),Raw_Data!J147,IFERROR(DATEVALUE(Raw_Data!J147),""))</f>
        <v>44722</v>
      </c>
      <c r="L147" s="8" t="str">
        <f t="shared" si="24"/>
        <v/>
      </c>
      <c r="M147" s="8" t="str">
        <f t="shared" si="25"/>
        <v>CUS</v>
      </c>
      <c r="N147" s="8" t="str">
        <f t="shared" si="26"/>
        <v>01236</v>
      </c>
      <c r="O147" s="8" t="str">
        <f t="shared" si="27"/>
        <v>9629</v>
      </c>
      <c r="P147" s="8" t="str">
        <f t="shared" si="28"/>
        <v>Manar Ahmed - Bronze</v>
      </c>
      <c r="Q147" s="12" t="str">
        <f>IF(B147="","Remove - missing ID",IF(OR(E147="",K147=""),"Remove - invalid date",IF(COUNTIF($B$2:B147,B147)&gt;1,"Remove - duplicate ID","Keep")))</f>
        <v>Keep</v>
      </c>
      <c r="R147" s="8" t="str">
        <f t="shared" si="29"/>
        <v>Yes</v>
      </c>
    </row>
    <row r="148" spans="1:18" x14ac:dyDescent="0.25">
      <c r="A148" s="8">
        <f>ROW(Raw_Data!A148)</f>
        <v>148</v>
      </c>
      <c r="B148" s="8" t="str">
        <f>TRIM(CLEAN(Raw_Data!A148))</f>
        <v>CUS00204</v>
      </c>
      <c r="C148" s="8" t="str">
        <f>IF(TRIM(CLEAN(Raw_Data!B148))="","Not Provided",PROPER(TRIM(CLEAN(Raw_Data!B148))))</f>
        <v>Ramy Ahmed</v>
      </c>
      <c r="D148" s="8" t="str">
        <f>IF(OR(PROPER(TRIM(CLEAN(Raw_Data!C148)))="Male",PROPER(TRIM(CLEAN(Raw_Data!C148)))="Female"),PROPER(TRIM(CLEAN(Raw_Data!C148))),"Unknown")</f>
        <v>Male</v>
      </c>
      <c r="E148" s="11">
        <f>IF(ISNUMBER(Raw_Data!D148),Raw_Data!D148,IFERROR(DATEVALUE(Raw_Data!D148),""))</f>
        <v>31445</v>
      </c>
      <c r="F148" s="8" t="str">
        <f>IF(TRIM(CLEAN(Raw_Data!E148))="","Not Provided",TRIM(CLEAN(Raw_Data!E148)))</f>
        <v>1072279029</v>
      </c>
      <c r="G148" s="8" t="str">
        <f>IF(TRIM(CLEAN(Raw_Data!F148))="","Not Provided",LOWER(TRIM(CLEAN(Raw_Data!F148))))</f>
        <v>ramy.ahmed69@yahoo.com</v>
      </c>
      <c r="H148" s="8" t="str">
        <f>IF(TRIM(CLEAN(Raw_Data!G148))="","Not Provided",PROPER(TRIM(CLEAN(Raw_Data!G148))))</f>
        <v>Suez</v>
      </c>
      <c r="I148" s="8" t="str">
        <f>IF(TRIM(CLEAN(Raw_Data!H148))="","Not Provided",PROPER(TRIM(CLEAN(Raw_Data!H148))))</f>
        <v>Canal Zone</v>
      </c>
      <c r="J148" s="8" t="str">
        <f>IF(OR(PROPER(TRIM(CLEAN(Raw_Data!I148)))="Bronze",PROPER(TRIM(CLEAN(Raw_Data!I148)))="Silver",PROPER(TRIM(CLEAN(Raw_Data!I148)))="Gold"),PROPER(TRIM(CLEAN(Raw_Data!I148))),"Unknown")</f>
        <v>Bronze</v>
      </c>
      <c r="K148" s="11">
        <f>IF(ISNUMBER(Raw_Data!J148),Raw_Data!J148,IFERROR(DATEVALUE(Raw_Data!J148),""))</f>
        <v>45253</v>
      </c>
      <c r="L148" s="8" t="str">
        <f t="shared" si="24"/>
        <v>yahoo.com</v>
      </c>
      <c r="M148" s="8" t="str">
        <f t="shared" si="25"/>
        <v>CUS</v>
      </c>
      <c r="N148" s="8" t="str">
        <f t="shared" si="26"/>
        <v>00204</v>
      </c>
      <c r="O148" s="8" t="str">
        <f t="shared" si="27"/>
        <v>9029</v>
      </c>
      <c r="P148" s="8" t="str">
        <f t="shared" si="28"/>
        <v>Ramy Ahmed - Bronze</v>
      </c>
      <c r="Q148" s="12" t="str">
        <f>IF(B148="","Remove - missing ID",IF(OR(E148="",K148=""),"Remove - invalid date",IF(COUNTIF($B$2:B148,B148)&gt;1,"Remove - duplicate ID","Keep")))</f>
        <v>Keep</v>
      </c>
      <c r="R148" s="8" t="str">
        <f t="shared" si="29"/>
        <v>Yes</v>
      </c>
    </row>
    <row r="149" spans="1:18" x14ac:dyDescent="0.25">
      <c r="A149" s="8">
        <f>ROW(Raw_Data!A149)</f>
        <v>149</v>
      </c>
      <c r="B149" s="8" t="str">
        <f>TRIM(CLEAN(Raw_Data!A149))</f>
        <v>CUS00802</v>
      </c>
      <c r="C149" s="8" t="str">
        <f>IF(TRIM(CLEAN(Raw_Data!B149))="","Not Provided",PROPER(TRIM(CLEAN(Raw_Data!B149))))</f>
        <v>Mahmoud Mansour</v>
      </c>
      <c r="D149" s="8" t="str">
        <f>IF(OR(PROPER(TRIM(CLEAN(Raw_Data!C149)))="Male",PROPER(TRIM(CLEAN(Raw_Data!C149)))="Female"),PROPER(TRIM(CLEAN(Raw_Data!C149))),"Unknown")</f>
        <v>Male</v>
      </c>
      <c r="E149" s="11">
        <f>IF(ISNUMBER(Raw_Data!D149),Raw_Data!D149,IFERROR(DATEVALUE(Raw_Data!D149),""))</f>
        <v>30048</v>
      </c>
      <c r="F149" s="8" t="str">
        <f>IF(TRIM(CLEAN(Raw_Data!E149))="","Not Provided",TRIM(CLEAN(Raw_Data!E149)))</f>
        <v>1049594225</v>
      </c>
      <c r="G149" s="8" t="str">
        <f>IF(TRIM(CLEAN(Raw_Data!F149))="","Not Provided",LOWER(TRIM(CLEAN(Raw_Data!F149))))</f>
        <v>mahmoud.mansour16@yahoo.com</v>
      </c>
      <c r="H149" s="8" t="str">
        <f>IF(TRIM(CLEAN(Raw_Data!G149))="","Not Provided",PROPER(TRIM(CLEAN(Raw_Data!G149))))</f>
        <v>Cairo</v>
      </c>
      <c r="I149" s="8" t="str">
        <f>IF(TRIM(CLEAN(Raw_Data!H149))="","Not Provided",PROPER(TRIM(CLEAN(Raw_Data!H149))))</f>
        <v>Greater Cairo</v>
      </c>
      <c r="J149" s="8" t="str">
        <f>IF(OR(PROPER(TRIM(CLEAN(Raw_Data!I149)))="Bronze",PROPER(TRIM(CLEAN(Raw_Data!I149)))="Silver",PROPER(TRIM(CLEAN(Raw_Data!I149)))="Gold"),PROPER(TRIM(CLEAN(Raw_Data!I149))),"Unknown")</f>
        <v>Gold</v>
      </c>
      <c r="K149" s="11">
        <f>IF(ISNUMBER(Raw_Data!J149),Raw_Data!J149,IFERROR(DATEVALUE(Raw_Data!J149),""))</f>
        <v>44890</v>
      </c>
      <c r="L149" s="8" t="str">
        <f t="shared" si="24"/>
        <v>yahoo.com</v>
      </c>
      <c r="M149" s="8" t="str">
        <f t="shared" si="25"/>
        <v>CUS</v>
      </c>
      <c r="N149" s="8" t="str">
        <f t="shared" si="26"/>
        <v>00802</v>
      </c>
      <c r="O149" s="8" t="str">
        <f t="shared" si="27"/>
        <v>4225</v>
      </c>
      <c r="P149" s="8" t="str">
        <f t="shared" si="28"/>
        <v>Mahmoud Mansour - Gold</v>
      </c>
      <c r="Q149" s="12" t="str">
        <f>IF(B149="","Remove - missing ID",IF(OR(E149="",K149=""),"Remove - invalid date",IF(COUNTIF($B$2:B149,B149)&gt;1,"Remove - duplicate ID","Keep")))</f>
        <v>Keep</v>
      </c>
      <c r="R149" s="8" t="str">
        <f t="shared" si="29"/>
        <v>Yes</v>
      </c>
    </row>
    <row r="150" spans="1:18" x14ac:dyDescent="0.25">
      <c r="A150" s="8">
        <f>ROW(Raw_Data!A150)</f>
        <v>150</v>
      </c>
      <c r="B150" s="8" t="str">
        <f>TRIM(CLEAN(Raw_Data!A150))</f>
        <v>CUS00464</v>
      </c>
      <c r="C150" s="8" t="str">
        <f>IF(TRIM(CLEAN(Raw_Data!B150))="","Not Provided",PROPER(TRIM(CLEAN(Raw_Data!B150))))</f>
        <v>Amira Mohamed</v>
      </c>
      <c r="D150" s="8" t="str">
        <f>IF(OR(PROPER(TRIM(CLEAN(Raw_Data!C150)))="Male",PROPER(TRIM(CLEAN(Raw_Data!C150)))="Female"),PROPER(TRIM(CLEAN(Raw_Data!C150))),"Unknown")</f>
        <v>Female</v>
      </c>
      <c r="E150" s="11">
        <f>IF(ISNUMBER(Raw_Data!D150),Raw_Data!D150,IFERROR(DATEVALUE(Raw_Data!D150),""))</f>
        <v>26193</v>
      </c>
      <c r="F150" s="8" t="str">
        <f>IF(TRIM(CLEAN(Raw_Data!E150))="","Not Provided",TRIM(CLEAN(Raw_Data!E150)))</f>
        <v>1039032170</v>
      </c>
      <c r="G150" s="8" t="str">
        <f>IF(TRIM(CLEAN(Raw_Data!F150))="","Not Provided",LOWER(TRIM(CLEAN(Raw_Data!F150))))</f>
        <v>amira.mohamed29@gmail.com</v>
      </c>
      <c r="H150" s="8" t="str">
        <f>IF(TRIM(CLEAN(Raw_Data!G150))="","Not Provided",PROPER(TRIM(CLEAN(Raw_Data!G150))))</f>
        <v>Alexandria</v>
      </c>
      <c r="I150" s="8" t="str">
        <f>IF(TRIM(CLEAN(Raw_Data!H150))="","Not Provided",PROPER(TRIM(CLEAN(Raw_Data!H150))))</f>
        <v>Alexandria</v>
      </c>
      <c r="J150" s="8" t="str">
        <f>IF(OR(PROPER(TRIM(CLEAN(Raw_Data!I150)))="Bronze",PROPER(TRIM(CLEAN(Raw_Data!I150)))="Silver",PROPER(TRIM(CLEAN(Raw_Data!I150)))="Gold"),PROPER(TRIM(CLEAN(Raw_Data!I150))),"Unknown")</f>
        <v>Bronze</v>
      </c>
      <c r="K150" s="11">
        <f>IF(ISNUMBER(Raw_Data!J150),Raw_Data!J150,IFERROR(DATEVALUE(Raw_Data!J150),""))</f>
        <v>44325</v>
      </c>
      <c r="L150" s="8" t="str">
        <f t="shared" si="24"/>
        <v>gmail.com</v>
      </c>
      <c r="M150" s="8" t="str">
        <f t="shared" si="25"/>
        <v>CUS</v>
      </c>
      <c r="N150" s="8" t="str">
        <f t="shared" si="26"/>
        <v>00464</v>
      </c>
      <c r="O150" s="8" t="str">
        <f t="shared" si="27"/>
        <v>2170</v>
      </c>
      <c r="P150" s="8" t="str">
        <f t="shared" si="28"/>
        <v>Amira Mohamed - Bronze</v>
      </c>
      <c r="Q150" s="12" t="str">
        <f>IF(B150="","Remove - missing ID",IF(OR(E150="",K150=""),"Remove - invalid date",IF(COUNTIF($B$2:B150,B150)&gt;1,"Remove - duplicate ID","Keep")))</f>
        <v>Keep</v>
      </c>
      <c r="R150" s="8" t="str">
        <f t="shared" si="29"/>
        <v>Yes</v>
      </c>
    </row>
    <row r="151" spans="1:18" x14ac:dyDescent="0.25">
      <c r="A151" s="8">
        <f>ROW(Raw_Data!A151)</f>
        <v>151</v>
      </c>
      <c r="B151" s="8" t="str">
        <f>TRIM(CLEAN(Raw_Data!A151))</f>
        <v>CUS01424</v>
      </c>
      <c r="C151" s="8" t="str">
        <f>IF(TRIM(CLEAN(Raw_Data!B151))="","Not Provided",PROPER(TRIM(CLEAN(Raw_Data!B151))))</f>
        <v>Eman Lotfy</v>
      </c>
      <c r="D151" s="8" t="str">
        <f>IF(OR(PROPER(TRIM(CLEAN(Raw_Data!C151)))="Male",PROPER(TRIM(CLEAN(Raw_Data!C151)))="Female"),PROPER(TRIM(CLEAN(Raw_Data!C151))),"Unknown")</f>
        <v>Female</v>
      </c>
      <c r="E151" s="11">
        <f>IF(ISNUMBER(Raw_Data!D151),Raw_Data!D151,IFERROR(DATEVALUE(Raw_Data!D151),""))</f>
        <v>35691</v>
      </c>
      <c r="F151" s="8" t="str">
        <f>IF(TRIM(CLEAN(Raw_Data!E151))="","Not Provided",TRIM(CLEAN(Raw_Data!E151)))</f>
        <v>1266214824</v>
      </c>
      <c r="G151" s="8" t="str">
        <f>IF(TRIM(CLEAN(Raw_Data!F151))="","Not Provided",LOWER(TRIM(CLEAN(Raw_Data!F151))))</f>
        <v>eman.lotfy35@yahoo.com</v>
      </c>
      <c r="H151" s="8" t="str">
        <f>IF(TRIM(CLEAN(Raw_Data!G151))="","Not Provided",PROPER(TRIM(CLEAN(Raw_Data!G151))))</f>
        <v>Cairo</v>
      </c>
      <c r="I151" s="8" t="str">
        <f>IF(TRIM(CLEAN(Raw_Data!H151))="","Not Provided",PROPER(TRIM(CLEAN(Raw_Data!H151))))</f>
        <v>Greater Cairo</v>
      </c>
      <c r="J151" s="8" t="str">
        <f>IF(OR(PROPER(TRIM(CLEAN(Raw_Data!I151)))="Bronze",PROPER(TRIM(CLEAN(Raw_Data!I151)))="Silver",PROPER(TRIM(CLEAN(Raw_Data!I151)))="Gold"),PROPER(TRIM(CLEAN(Raw_Data!I151))),"Unknown")</f>
        <v>Gold</v>
      </c>
      <c r="K151" s="11">
        <f>IF(ISNUMBER(Raw_Data!J151),Raw_Data!J151,IFERROR(DATEVALUE(Raw_Data!J151),""))</f>
        <v>44828</v>
      </c>
      <c r="L151" s="8" t="str">
        <f t="shared" si="24"/>
        <v>yahoo.com</v>
      </c>
      <c r="M151" s="8" t="str">
        <f t="shared" si="25"/>
        <v>CUS</v>
      </c>
      <c r="N151" s="8" t="str">
        <f t="shared" si="26"/>
        <v>01424</v>
      </c>
      <c r="O151" s="8" t="str">
        <f t="shared" si="27"/>
        <v>4824</v>
      </c>
      <c r="P151" s="8" t="str">
        <f t="shared" si="28"/>
        <v>Eman Lotfy - Gold</v>
      </c>
      <c r="Q151" s="12" t="str">
        <f>IF(B151="","Remove - missing ID",IF(OR(E151="",K151=""),"Remove - invalid date",IF(COUNTIF($B$2:B151,B151)&gt;1,"Remove - duplicate ID","Keep")))</f>
        <v>Keep</v>
      </c>
      <c r="R151" s="8" t="str">
        <f t="shared" si="29"/>
        <v>Yes</v>
      </c>
    </row>
    <row r="152" spans="1:18" x14ac:dyDescent="0.25">
      <c r="A152" s="8">
        <f>ROW(Raw_Data!A152)</f>
        <v>152</v>
      </c>
      <c r="B152" s="8" t="str">
        <f>TRIM(CLEAN(Raw_Data!A152))</f>
        <v>CUS02414</v>
      </c>
      <c r="C152" s="8" t="str">
        <f>IF(TRIM(CLEAN(Raw_Data!B152))="","Not Provided",PROPER(TRIM(CLEAN(Raw_Data!B152))))</f>
        <v>Salma Zaki</v>
      </c>
      <c r="D152" s="8" t="str">
        <f>IF(OR(PROPER(TRIM(CLEAN(Raw_Data!C152)))="Male",PROPER(TRIM(CLEAN(Raw_Data!C152)))="Female"),PROPER(TRIM(CLEAN(Raw_Data!C152))),"Unknown")</f>
        <v>Female</v>
      </c>
      <c r="E152" s="11">
        <f>IF(ISNUMBER(Raw_Data!D152),Raw_Data!D152,IFERROR(DATEVALUE(Raw_Data!D152),""))</f>
        <v>28252</v>
      </c>
      <c r="F152" s="8" t="str">
        <f>IF(TRIM(CLEAN(Raw_Data!E152))="","Not Provided",TRIM(CLEAN(Raw_Data!E152)))</f>
        <v>1095240437</v>
      </c>
      <c r="G152" s="8" t="str">
        <f>IF(TRIM(CLEAN(Raw_Data!F152))="","Not Provided",LOWER(TRIM(CLEAN(Raw_Data!F152))))</f>
        <v>salma.zaki23@hotmail.com</v>
      </c>
      <c r="H152" s="8" t="str">
        <f>IF(TRIM(CLEAN(Raw_Data!G152))="","Not Provided",PROPER(TRIM(CLEAN(Raw_Data!G152))))</f>
        <v>Cairo</v>
      </c>
      <c r="I152" s="8" t="str">
        <f>IF(TRIM(CLEAN(Raw_Data!H152))="","Not Provided",PROPER(TRIM(CLEAN(Raw_Data!H152))))</f>
        <v>Greater Cairo</v>
      </c>
      <c r="J152" s="8" t="str">
        <f>IF(OR(PROPER(TRIM(CLEAN(Raw_Data!I152)))="Bronze",PROPER(TRIM(CLEAN(Raw_Data!I152)))="Silver",PROPER(TRIM(CLEAN(Raw_Data!I152)))="Gold"),PROPER(TRIM(CLEAN(Raw_Data!I152))),"Unknown")</f>
        <v>Bronze</v>
      </c>
      <c r="K152" s="11">
        <f>IF(ISNUMBER(Raw_Data!J152),Raw_Data!J152,IFERROR(DATEVALUE(Raw_Data!J152),""))</f>
        <v>45177</v>
      </c>
      <c r="L152" s="8" t="str">
        <f t="shared" si="24"/>
        <v>hotmail.com</v>
      </c>
      <c r="M152" s="8" t="str">
        <f t="shared" si="25"/>
        <v>CUS</v>
      </c>
      <c r="N152" s="8" t="str">
        <f t="shared" si="26"/>
        <v>02414</v>
      </c>
      <c r="O152" s="8" t="str">
        <f t="shared" si="27"/>
        <v>0437</v>
      </c>
      <c r="P152" s="8" t="str">
        <f t="shared" si="28"/>
        <v>Salma Zaki - Bronze</v>
      </c>
      <c r="Q152" s="12" t="str">
        <f>IF(B152="","Remove - missing ID",IF(OR(E152="",K152=""),"Remove - invalid date",IF(COUNTIF($B$2:B152,B152)&gt;1,"Remove - duplicate ID","Keep")))</f>
        <v>Remove - duplicate ID</v>
      </c>
      <c r="R152" s="8" t="str">
        <f t="shared" si="29"/>
        <v>No</v>
      </c>
    </row>
    <row r="153" spans="1:18" x14ac:dyDescent="0.25">
      <c r="A153" s="8">
        <f>ROW(Raw_Data!A153)</f>
        <v>153</v>
      </c>
      <c r="B153" s="8" t="str">
        <f>TRIM(CLEAN(Raw_Data!A153))</f>
        <v>CUS02808</v>
      </c>
      <c r="C153" s="8" t="str">
        <f>IF(TRIM(CLEAN(Raw_Data!B153))="","Not Provided",PROPER(TRIM(CLEAN(Raw_Data!B153))))</f>
        <v>Ramy Ali</v>
      </c>
      <c r="D153" s="8" t="str">
        <f>IF(OR(PROPER(TRIM(CLEAN(Raw_Data!C153)))="Male",PROPER(TRIM(CLEAN(Raw_Data!C153)))="Female"),PROPER(TRIM(CLEAN(Raw_Data!C153))),"Unknown")</f>
        <v>Male</v>
      </c>
      <c r="E153" s="11">
        <f>IF(ISNUMBER(Raw_Data!D153),Raw_Data!D153,IFERROR(DATEVALUE(Raw_Data!D153),""))</f>
        <v>34985</v>
      </c>
      <c r="F153" s="8" t="str">
        <f>IF(TRIM(CLEAN(Raw_Data!E153))="","Not Provided",TRIM(CLEAN(Raw_Data!E153)))</f>
        <v>1225235645</v>
      </c>
      <c r="G153" s="8" t="str">
        <f>IF(TRIM(CLEAN(Raw_Data!F153))="","Not Provided",LOWER(TRIM(CLEAN(Raw_Data!F153))))</f>
        <v>ramy.ali33@hotmail.com</v>
      </c>
      <c r="H153" s="8" t="str">
        <f>IF(TRIM(CLEAN(Raw_Data!G153))="","Not Provided",PROPER(TRIM(CLEAN(Raw_Data!G153))))</f>
        <v>Cairo</v>
      </c>
      <c r="I153" s="8" t="str">
        <f>IF(TRIM(CLEAN(Raw_Data!H153))="","Not Provided",PROPER(TRIM(CLEAN(Raw_Data!H153))))</f>
        <v>Greater Cairo</v>
      </c>
      <c r="J153" s="8" t="str">
        <f>IF(OR(PROPER(TRIM(CLEAN(Raw_Data!I153)))="Bronze",PROPER(TRIM(CLEAN(Raw_Data!I153)))="Silver",PROPER(TRIM(CLEAN(Raw_Data!I153)))="Gold"),PROPER(TRIM(CLEAN(Raw_Data!I153))),"Unknown")</f>
        <v>Bronze</v>
      </c>
      <c r="K153" s="11">
        <f>IF(ISNUMBER(Raw_Data!J153),Raw_Data!J153,IFERROR(DATEVALUE(Raw_Data!J153),""))</f>
        <v>44627</v>
      </c>
      <c r="L153" s="8" t="str">
        <f t="shared" si="24"/>
        <v>hotmail.com</v>
      </c>
      <c r="M153" s="8" t="str">
        <f t="shared" si="25"/>
        <v>CUS</v>
      </c>
      <c r="N153" s="8" t="str">
        <f t="shared" si="26"/>
        <v>02808</v>
      </c>
      <c r="O153" s="8" t="str">
        <f t="shared" si="27"/>
        <v>5645</v>
      </c>
      <c r="P153" s="8" t="str">
        <f t="shared" si="28"/>
        <v>Ramy Ali - Bronze</v>
      </c>
      <c r="Q153" s="12" t="str">
        <f>IF(B153="","Remove - missing ID",IF(OR(E153="",K153=""),"Remove - invalid date",IF(COUNTIF($B$2:B153,B153)&gt;1,"Remove - duplicate ID","Keep")))</f>
        <v>Remove - duplicate ID</v>
      </c>
      <c r="R153" s="8" t="str">
        <f t="shared" si="29"/>
        <v>No</v>
      </c>
    </row>
    <row r="154" spans="1:18" x14ac:dyDescent="0.25">
      <c r="A154" s="8">
        <f>ROW(Raw_Data!A154)</f>
        <v>154</v>
      </c>
      <c r="B154" s="8" t="str">
        <f>TRIM(CLEAN(Raw_Data!A154))</f>
        <v>CUS01284</v>
      </c>
      <c r="C154" s="8" t="str">
        <f>IF(TRIM(CLEAN(Raw_Data!B154))="","Not Provided",PROPER(TRIM(CLEAN(Raw_Data!B154))))</f>
        <v>Hany Khalil</v>
      </c>
      <c r="D154" s="8" t="str">
        <f>IF(OR(PROPER(TRIM(CLEAN(Raw_Data!C154)))="Male",PROPER(TRIM(CLEAN(Raw_Data!C154)))="Female"),PROPER(TRIM(CLEAN(Raw_Data!C154))),"Unknown")</f>
        <v>Male</v>
      </c>
      <c r="E154" s="11">
        <f>IF(ISNUMBER(Raw_Data!D154),Raw_Data!D154,IFERROR(DATEVALUE(Raw_Data!D154),""))</f>
        <v>35454</v>
      </c>
      <c r="F154" s="8" t="str">
        <f>IF(TRIM(CLEAN(Raw_Data!E154))="","Not Provided",TRIM(CLEAN(Raw_Data!E154)))</f>
        <v>1258398175</v>
      </c>
      <c r="G154" s="8" t="str">
        <f>IF(TRIM(CLEAN(Raw_Data!F154))="","Not Provided",LOWER(TRIM(CLEAN(Raw_Data!F154))))</f>
        <v>hany.khalil59@outlook.com</v>
      </c>
      <c r="H154" s="8" t="str">
        <f>IF(TRIM(CLEAN(Raw_Data!G154))="","Not Provided",PROPER(TRIM(CLEAN(Raw_Data!G154))))</f>
        <v>Cairo</v>
      </c>
      <c r="I154" s="8" t="str">
        <f>IF(TRIM(CLEAN(Raw_Data!H154))="","Not Provided",PROPER(TRIM(CLEAN(Raw_Data!H154))))</f>
        <v>Greater Cairo</v>
      </c>
      <c r="J154" s="8" t="str">
        <f>IF(OR(PROPER(TRIM(CLEAN(Raw_Data!I154)))="Bronze",PROPER(TRIM(CLEAN(Raw_Data!I154)))="Silver",PROPER(TRIM(CLEAN(Raw_Data!I154)))="Gold"),PROPER(TRIM(CLEAN(Raw_Data!I154))),"Unknown")</f>
        <v>Bronze</v>
      </c>
      <c r="K154" s="11">
        <f>IF(ISNUMBER(Raw_Data!J154),Raw_Data!J154,IFERROR(DATEVALUE(Raw_Data!J154),""))</f>
        <v>45063</v>
      </c>
      <c r="L154" s="8" t="str">
        <f t="shared" si="24"/>
        <v>outlook.com</v>
      </c>
      <c r="M154" s="8" t="str">
        <f t="shared" si="25"/>
        <v>CUS</v>
      </c>
      <c r="N154" s="8" t="str">
        <f t="shared" si="26"/>
        <v>01284</v>
      </c>
      <c r="O154" s="8" t="str">
        <f t="shared" si="27"/>
        <v>8175</v>
      </c>
      <c r="P154" s="8" t="str">
        <f t="shared" si="28"/>
        <v>Hany Khalil - Bronze</v>
      </c>
      <c r="Q154" s="12" t="str">
        <f>IF(B154="","Remove - missing ID",IF(OR(E154="",K154=""),"Remove - invalid date",IF(COUNTIF($B$2:B154,B154)&gt;1,"Remove - duplicate ID","Keep")))</f>
        <v>Remove - duplicate ID</v>
      </c>
      <c r="R154" s="8" t="str">
        <f t="shared" si="29"/>
        <v>No</v>
      </c>
    </row>
    <row r="155" spans="1:18" x14ac:dyDescent="0.25">
      <c r="A155" s="8">
        <f>ROW(Raw_Data!A155)</f>
        <v>155</v>
      </c>
      <c r="B155" s="8" t="str">
        <f>TRIM(CLEAN(Raw_Data!A155))</f>
        <v>CUS02869</v>
      </c>
      <c r="C155" s="8" t="str">
        <f>IF(TRIM(CLEAN(Raw_Data!B155))="","Not Provided",PROPER(TRIM(CLEAN(Raw_Data!B155))))</f>
        <v>Engy Attia</v>
      </c>
      <c r="D155" s="8" t="str">
        <f>IF(OR(PROPER(TRIM(CLEAN(Raw_Data!C155)))="Male",PROPER(TRIM(CLEAN(Raw_Data!C155)))="Female"),PROPER(TRIM(CLEAN(Raw_Data!C155))),"Unknown")</f>
        <v>Female</v>
      </c>
      <c r="E155" s="11" t="str">
        <f>IF(ISNUMBER(Raw_Data!D155),Raw_Data!D155,IFERROR(DATEVALUE(Raw_Data!D155),""))</f>
        <v/>
      </c>
      <c r="F155" s="8" t="str">
        <f>IF(TRIM(CLEAN(Raw_Data!E155))="","Not Provided",TRIM(CLEAN(Raw_Data!E155)))</f>
        <v>1027978174</v>
      </c>
      <c r="G155" s="8" t="str">
        <f>IF(TRIM(CLEAN(Raw_Data!F155))="","Not Provided",LOWER(TRIM(CLEAN(Raw_Data!F155))))</f>
        <v>engy.attia68@yahoo.com</v>
      </c>
      <c r="H155" s="8" t="str">
        <f>IF(TRIM(CLEAN(Raw_Data!G155))="","Not Provided",PROPER(TRIM(CLEAN(Raw_Data!G155))))</f>
        <v>Giza</v>
      </c>
      <c r="I155" s="8" t="str">
        <f>IF(TRIM(CLEAN(Raw_Data!H155))="","Not Provided",PROPER(TRIM(CLEAN(Raw_Data!H155))))</f>
        <v>Greater Cairo</v>
      </c>
      <c r="J155" s="8" t="str">
        <f>IF(OR(PROPER(TRIM(CLEAN(Raw_Data!I155)))="Bronze",PROPER(TRIM(CLEAN(Raw_Data!I155)))="Silver",PROPER(TRIM(CLEAN(Raw_Data!I155)))="Gold"),PROPER(TRIM(CLEAN(Raw_Data!I155))),"Unknown")</f>
        <v>Bronze</v>
      </c>
      <c r="K155" s="11">
        <f>IF(ISNUMBER(Raw_Data!J155),Raw_Data!J155,IFERROR(DATEVALUE(Raw_Data!J155),""))</f>
        <v>43837</v>
      </c>
      <c r="L155" s="8" t="str">
        <f t="shared" si="24"/>
        <v>yahoo.com</v>
      </c>
      <c r="M155" s="8" t="str">
        <f t="shared" si="25"/>
        <v>CUS</v>
      </c>
      <c r="N155" s="8" t="str">
        <f t="shared" si="26"/>
        <v>02869</v>
      </c>
      <c r="O155" s="8" t="str">
        <f t="shared" si="27"/>
        <v>8174</v>
      </c>
      <c r="P155" s="8" t="str">
        <f t="shared" si="28"/>
        <v>Engy Attia - Bronze</v>
      </c>
      <c r="Q155" s="12" t="str">
        <f>IF(B155="","Remove - missing ID",IF(OR(E155="",K155=""),"Remove - invalid date",IF(COUNTIF($B$2:B155,B155)&gt;1,"Remove - duplicate ID","Keep")))</f>
        <v>Remove - invalid date</v>
      </c>
      <c r="R155" s="8" t="str">
        <f t="shared" si="29"/>
        <v>No</v>
      </c>
    </row>
    <row r="156" spans="1:18" x14ac:dyDescent="0.25">
      <c r="A156" s="8">
        <f>ROW(Raw_Data!A156)</f>
        <v>156</v>
      </c>
      <c r="B156" s="8" t="str">
        <f>TRIM(CLEAN(Raw_Data!A156))</f>
        <v>CUS00890</v>
      </c>
      <c r="C156" s="8" t="str">
        <f>IF(TRIM(CLEAN(Raw_Data!B156))="","Not Provided",PROPER(TRIM(CLEAN(Raw_Data!B156))))</f>
        <v>Tarek Lotfy</v>
      </c>
      <c r="D156" s="8" t="str">
        <f>IF(OR(PROPER(TRIM(CLEAN(Raw_Data!C156)))="Male",PROPER(TRIM(CLEAN(Raw_Data!C156)))="Female"),PROPER(TRIM(CLEAN(Raw_Data!C156))),"Unknown")</f>
        <v>Male</v>
      </c>
      <c r="E156" s="11">
        <f>IF(ISNUMBER(Raw_Data!D156),Raw_Data!D156,IFERROR(DATEVALUE(Raw_Data!D156),""))</f>
        <v>32574</v>
      </c>
      <c r="F156" s="8" t="str">
        <f>IF(TRIM(CLEAN(Raw_Data!E156))="","Not Provided",TRIM(CLEAN(Raw_Data!E156)))</f>
        <v>1044810342</v>
      </c>
      <c r="G156" s="8" t="str">
        <f>IF(TRIM(CLEAN(Raw_Data!F156))="","Not Provided",LOWER(TRIM(CLEAN(Raw_Data!F156))))</f>
        <v>Not Provided</v>
      </c>
      <c r="H156" s="8" t="str">
        <f>IF(TRIM(CLEAN(Raw_Data!G156))="","Not Provided",PROPER(TRIM(CLEAN(Raw_Data!G156))))</f>
        <v>Cairo</v>
      </c>
      <c r="I156" s="8" t="str">
        <f>IF(TRIM(CLEAN(Raw_Data!H156))="","Not Provided",PROPER(TRIM(CLEAN(Raw_Data!H156))))</f>
        <v>Greater Cairo</v>
      </c>
      <c r="J156" s="8" t="str">
        <f>IF(OR(PROPER(TRIM(CLEAN(Raw_Data!I156)))="Bronze",PROPER(TRIM(CLEAN(Raw_Data!I156)))="Silver",PROPER(TRIM(CLEAN(Raw_Data!I156)))="Gold"),PROPER(TRIM(CLEAN(Raw_Data!I156))),"Unknown")</f>
        <v>Bronze</v>
      </c>
      <c r="K156" s="11">
        <f>IF(ISNUMBER(Raw_Data!J156),Raw_Data!J156,IFERROR(DATEVALUE(Raw_Data!J156),""))</f>
        <v>44940</v>
      </c>
      <c r="L156" s="8" t="str">
        <f t="shared" si="24"/>
        <v/>
      </c>
      <c r="M156" s="8" t="str">
        <f t="shared" si="25"/>
        <v>CUS</v>
      </c>
      <c r="N156" s="8" t="str">
        <f t="shared" si="26"/>
        <v>00890</v>
      </c>
      <c r="O156" s="8" t="str">
        <f t="shared" si="27"/>
        <v>0342</v>
      </c>
      <c r="P156" s="8" t="str">
        <f t="shared" si="28"/>
        <v>Tarek Lotfy - Bronze</v>
      </c>
      <c r="Q156" s="12" t="str">
        <f>IF(B156="","Remove - missing ID",IF(OR(E156="",K156=""),"Remove - invalid date",IF(COUNTIF($B$2:B156,B156)&gt;1,"Remove - duplicate ID","Keep")))</f>
        <v>Remove - duplicate ID</v>
      </c>
      <c r="R156" s="8" t="str">
        <f t="shared" si="29"/>
        <v>No</v>
      </c>
    </row>
    <row r="157" spans="1:18" x14ac:dyDescent="0.25">
      <c r="A157" s="8">
        <f>ROW(Raw_Data!A157)</f>
        <v>157</v>
      </c>
      <c r="B157" s="8" t="str">
        <f>TRIM(CLEAN(Raw_Data!A157))</f>
        <v>CUS01460</v>
      </c>
      <c r="C157" s="8" t="str">
        <f>IF(TRIM(CLEAN(Raw_Data!B157))="","Not Provided",PROPER(TRIM(CLEAN(Raw_Data!B157))))</f>
        <v>Nour Bakr</v>
      </c>
      <c r="D157" s="8" t="str">
        <f>IF(OR(PROPER(TRIM(CLEAN(Raw_Data!C157)))="Male",PROPER(TRIM(CLEAN(Raw_Data!C157)))="Female"),PROPER(TRIM(CLEAN(Raw_Data!C157))),"Unknown")</f>
        <v>Female</v>
      </c>
      <c r="E157" s="11">
        <f>IF(ISNUMBER(Raw_Data!D157),Raw_Data!D157,IFERROR(DATEVALUE(Raw_Data!D157),""))</f>
        <v>29284</v>
      </c>
      <c r="F157" s="8" t="str">
        <f>IF(TRIM(CLEAN(Raw_Data!E157))="","Not Provided",TRIM(CLEAN(Raw_Data!E157)))</f>
        <v>1126675052</v>
      </c>
      <c r="G157" s="8" t="str">
        <f>IF(TRIM(CLEAN(Raw_Data!F157))="","Not Provided",LOWER(TRIM(CLEAN(Raw_Data!F157))))</f>
        <v>nour.bakr54@hotmail.com</v>
      </c>
      <c r="H157" s="8" t="str">
        <f>IF(TRIM(CLEAN(Raw_Data!G157))="","Not Provided",PROPER(TRIM(CLEAN(Raw_Data!G157))))</f>
        <v>Mansoura</v>
      </c>
      <c r="I157" s="8" t="str">
        <f>IF(TRIM(CLEAN(Raw_Data!H157))="","Not Provided",PROPER(TRIM(CLEAN(Raw_Data!H157))))</f>
        <v>Nile Delta</v>
      </c>
      <c r="J157" s="8" t="str">
        <f>IF(OR(PROPER(TRIM(CLEAN(Raw_Data!I157)))="Bronze",PROPER(TRIM(CLEAN(Raw_Data!I157)))="Silver",PROPER(TRIM(CLEAN(Raw_Data!I157)))="Gold"),PROPER(TRIM(CLEAN(Raw_Data!I157))),"Unknown")</f>
        <v>Silver</v>
      </c>
      <c r="K157" s="11">
        <f>IF(ISNUMBER(Raw_Data!J157),Raw_Data!J157,IFERROR(DATEVALUE(Raw_Data!J157),""))</f>
        <v>44094</v>
      </c>
      <c r="L157" s="8" t="str">
        <f t="shared" si="24"/>
        <v>hotmail.com</v>
      </c>
      <c r="M157" s="8" t="str">
        <f t="shared" si="25"/>
        <v>CUS</v>
      </c>
      <c r="N157" s="8" t="str">
        <f t="shared" si="26"/>
        <v>01460</v>
      </c>
      <c r="O157" s="8" t="str">
        <f t="shared" si="27"/>
        <v>5052</v>
      </c>
      <c r="P157" s="8" t="str">
        <f t="shared" si="28"/>
        <v>Nour Bakr - Silver</v>
      </c>
      <c r="Q157" s="12" t="str">
        <f>IF(B157="","Remove - missing ID",IF(OR(E157="",K157=""),"Remove - invalid date",IF(COUNTIF($B$2:B157,B157)&gt;1,"Remove - duplicate ID","Keep")))</f>
        <v>Remove - duplicate ID</v>
      </c>
      <c r="R157" s="8" t="str">
        <f t="shared" si="29"/>
        <v>No</v>
      </c>
    </row>
    <row r="158" spans="1:18" x14ac:dyDescent="0.25">
      <c r="A158" s="8">
        <f>ROW(Raw_Data!A158)</f>
        <v>158</v>
      </c>
      <c r="B158" s="8" t="str">
        <f>TRIM(CLEAN(Raw_Data!A158))</f>
        <v>CUS00652</v>
      </c>
      <c r="C158" s="8" t="str">
        <f>IF(TRIM(CLEAN(Raw_Data!B158))="","Not Provided",PROPER(TRIM(CLEAN(Raw_Data!B158))))</f>
        <v>Ramy Mansour</v>
      </c>
      <c r="D158" s="8" t="str">
        <f>IF(OR(PROPER(TRIM(CLEAN(Raw_Data!C158)))="Male",PROPER(TRIM(CLEAN(Raw_Data!C158)))="Female"),PROPER(TRIM(CLEAN(Raw_Data!C158))),"Unknown")</f>
        <v>Male</v>
      </c>
      <c r="E158" s="11">
        <f>IF(ISNUMBER(Raw_Data!D158),Raw_Data!D158,IFERROR(DATEVALUE(Raw_Data!D158),""))</f>
        <v>35566</v>
      </c>
      <c r="F158" s="8" t="str">
        <f>IF(TRIM(CLEAN(Raw_Data!E158))="","Not Provided",TRIM(CLEAN(Raw_Data!E158)))</f>
        <v>1034772080</v>
      </c>
      <c r="G158" s="8" t="str">
        <f>IF(TRIM(CLEAN(Raw_Data!F158))="","Not Provided",LOWER(TRIM(CLEAN(Raw_Data!F158))))</f>
        <v>ramy.mansour11@hotmail.com</v>
      </c>
      <c r="H158" s="8" t="str">
        <f>IF(TRIM(CLEAN(Raw_Data!G158))="","Not Provided",PROPER(TRIM(CLEAN(Raw_Data!G158))))</f>
        <v>Alexandria</v>
      </c>
      <c r="I158" s="8" t="str">
        <f>IF(TRIM(CLEAN(Raw_Data!H158))="","Not Provided",PROPER(TRIM(CLEAN(Raw_Data!H158))))</f>
        <v>Alexandria</v>
      </c>
      <c r="J158" s="8" t="str">
        <f>IF(OR(PROPER(TRIM(CLEAN(Raw_Data!I158)))="Bronze",PROPER(TRIM(CLEAN(Raw_Data!I158)))="Silver",PROPER(TRIM(CLEAN(Raw_Data!I158)))="Gold"),PROPER(TRIM(CLEAN(Raw_Data!I158))),"Unknown")</f>
        <v>Bronze</v>
      </c>
      <c r="K158" s="11">
        <f>IF(ISNUMBER(Raw_Data!J158),Raw_Data!J158,IFERROR(DATEVALUE(Raw_Data!J158),""))</f>
        <v>44974</v>
      </c>
      <c r="L158" s="8" t="str">
        <f t="shared" si="24"/>
        <v>hotmail.com</v>
      </c>
      <c r="M158" s="8" t="str">
        <f t="shared" si="25"/>
        <v>CUS</v>
      </c>
      <c r="N158" s="8" t="str">
        <f t="shared" si="26"/>
        <v>00652</v>
      </c>
      <c r="O158" s="8" t="str">
        <f t="shared" si="27"/>
        <v>2080</v>
      </c>
      <c r="P158" s="8" t="str">
        <f t="shared" si="28"/>
        <v>Ramy Mansour - Bronze</v>
      </c>
      <c r="Q158" s="12" t="str">
        <f>IF(B158="","Remove - missing ID",IF(OR(E158="",K158=""),"Remove - invalid date",IF(COUNTIF($B$2:B158,B158)&gt;1,"Remove - duplicate ID","Keep")))</f>
        <v>Remove - duplicate ID</v>
      </c>
      <c r="R158" s="8" t="str">
        <f t="shared" si="29"/>
        <v>No</v>
      </c>
    </row>
    <row r="159" spans="1:18" x14ac:dyDescent="0.25">
      <c r="A159" s="8">
        <f>ROW(Raw_Data!A159)</f>
        <v>159</v>
      </c>
      <c r="B159" s="8" t="str">
        <f>TRIM(CLEAN(Raw_Data!A159))</f>
        <v>CUS01437</v>
      </c>
      <c r="C159" s="8" t="str">
        <f>IF(TRIM(CLEAN(Raw_Data!B159))="","Not Provided",PROPER(TRIM(CLEAN(Raw_Data!B159))))</f>
        <v>Yasmin Abdallah</v>
      </c>
      <c r="D159" s="8" t="str">
        <f>IF(OR(PROPER(TRIM(CLEAN(Raw_Data!C159)))="Male",PROPER(TRIM(CLEAN(Raw_Data!C159)))="Female"),PROPER(TRIM(CLEAN(Raw_Data!C159))),"Unknown")</f>
        <v>Female</v>
      </c>
      <c r="E159" s="11">
        <f>IF(ISNUMBER(Raw_Data!D159),Raw_Data!D159,IFERROR(DATEVALUE(Raw_Data!D159),""))</f>
        <v>35285</v>
      </c>
      <c r="F159" s="8" t="str">
        <f>IF(TRIM(CLEAN(Raw_Data!E159))="","Not Provided",TRIM(CLEAN(Raw_Data!E159)))</f>
        <v>1223416165</v>
      </c>
      <c r="G159" s="8" t="str">
        <f>IF(TRIM(CLEAN(Raw_Data!F159))="","Not Provided",LOWER(TRIM(CLEAN(Raw_Data!F159))))</f>
        <v>yasmin.abdallah68@gmail.com</v>
      </c>
      <c r="H159" s="8" t="str">
        <f>IF(TRIM(CLEAN(Raw_Data!G159))="","Not Provided",PROPER(TRIM(CLEAN(Raw_Data!G159))))</f>
        <v>Giza</v>
      </c>
      <c r="I159" s="8" t="str">
        <f>IF(TRIM(CLEAN(Raw_Data!H159))="","Not Provided",PROPER(TRIM(CLEAN(Raw_Data!H159))))</f>
        <v>Greater Cairo</v>
      </c>
      <c r="J159" s="8" t="str">
        <f>IF(OR(PROPER(TRIM(CLEAN(Raw_Data!I159)))="Bronze",PROPER(TRIM(CLEAN(Raw_Data!I159)))="Silver",PROPER(TRIM(CLEAN(Raw_Data!I159)))="Gold"),PROPER(TRIM(CLEAN(Raw_Data!I159))),"Unknown")</f>
        <v>Gold</v>
      </c>
      <c r="K159" s="11">
        <f>IF(ISNUMBER(Raw_Data!J159),Raw_Data!J159,IFERROR(DATEVALUE(Raw_Data!J159),""))</f>
        <v>44816</v>
      </c>
      <c r="L159" s="8" t="str">
        <f t="shared" si="24"/>
        <v>gmail.com</v>
      </c>
      <c r="M159" s="8" t="str">
        <f t="shared" si="25"/>
        <v>CUS</v>
      </c>
      <c r="N159" s="8" t="str">
        <f t="shared" si="26"/>
        <v>01437</v>
      </c>
      <c r="O159" s="8" t="str">
        <f t="shared" si="27"/>
        <v>6165</v>
      </c>
      <c r="P159" s="8" t="str">
        <f t="shared" si="28"/>
        <v>Yasmin Abdallah - Gold</v>
      </c>
      <c r="Q159" s="12" t="str">
        <f>IF(B159="","Remove - missing ID",IF(OR(E159="",K159=""),"Remove - invalid date",IF(COUNTIF($B$2:B159,B159)&gt;1,"Remove - duplicate ID","Keep")))</f>
        <v>Remove - duplicate ID</v>
      </c>
      <c r="R159" s="8" t="str">
        <f t="shared" si="29"/>
        <v>No</v>
      </c>
    </row>
    <row r="160" spans="1:18" x14ac:dyDescent="0.25">
      <c r="A160" s="8">
        <f>ROW(Raw_Data!A160)</f>
        <v>160</v>
      </c>
      <c r="B160" s="8" t="str">
        <f>TRIM(CLEAN(Raw_Data!A160))</f>
        <v>CUS00555</v>
      </c>
      <c r="C160" s="8" t="str">
        <f>IF(TRIM(CLEAN(Raw_Data!B160))="","Not Provided",PROPER(TRIM(CLEAN(Raw_Data!B160))))</f>
        <v>Omar Ahmed</v>
      </c>
      <c r="D160" s="8" t="str">
        <f>IF(OR(PROPER(TRIM(CLEAN(Raw_Data!C160)))="Male",PROPER(TRIM(CLEAN(Raw_Data!C160)))="Female"),PROPER(TRIM(CLEAN(Raw_Data!C160))),"Unknown")</f>
        <v>Male</v>
      </c>
      <c r="E160" s="11">
        <f>IF(ISNUMBER(Raw_Data!D160),Raw_Data!D160,IFERROR(DATEVALUE(Raw_Data!D160),""))</f>
        <v>28759</v>
      </c>
      <c r="F160" s="8" t="str">
        <f>IF(TRIM(CLEAN(Raw_Data!E160))="","Not Provided",TRIM(CLEAN(Raw_Data!E160)))</f>
        <v>1167096991</v>
      </c>
      <c r="G160" s="8" t="str">
        <f>IF(TRIM(CLEAN(Raw_Data!F160))="","Not Provided",LOWER(TRIM(CLEAN(Raw_Data!F160))))</f>
        <v>Not Provided</v>
      </c>
      <c r="H160" s="8" t="str">
        <f>IF(TRIM(CLEAN(Raw_Data!G160))="","Not Provided",PROPER(TRIM(CLEAN(Raw_Data!G160))))</f>
        <v>Luxor</v>
      </c>
      <c r="I160" s="8" t="str">
        <f>IF(TRIM(CLEAN(Raw_Data!H160))="","Not Provided",PROPER(TRIM(CLEAN(Raw_Data!H160))))</f>
        <v>Upper Egypt</v>
      </c>
      <c r="J160" s="8" t="str">
        <f>IF(OR(PROPER(TRIM(CLEAN(Raw_Data!I160)))="Bronze",PROPER(TRIM(CLEAN(Raw_Data!I160)))="Silver",PROPER(TRIM(CLEAN(Raw_Data!I160)))="Gold"),PROPER(TRIM(CLEAN(Raw_Data!I160))),"Unknown")</f>
        <v>Bronze</v>
      </c>
      <c r="K160" s="11">
        <f>IF(ISNUMBER(Raw_Data!J160),Raw_Data!J160,IFERROR(DATEVALUE(Raw_Data!J160),""))</f>
        <v>45132</v>
      </c>
      <c r="L160" s="8" t="str">
        <f t="shared" si="24"/>
        <v/>
      </c>
      <c r="M160" s="8" t="str">
        <f t="shared" si="25"/>
        <v>CUS</v>
      </c>
      <c r="N160" s="8" t="str">
        <f t="shared" si="26"/>
        <v>00555</v>
      </c>
      <c r="O160" s="8" t="str">
        <f t="shared" si="27"/>
        <v>6991</v>
      </c>
      <c r="P160" s="8" t="str">
        <f t="shared" si="28"/>
        <v>Omar Ahmed - Bronze</v>
      </c>
      <c r="Q160" s="12" t="str">
        <f>IF(B160="","Remove - missing ID",IF(OR(E160="",K160=""),"Remove - invalid date",IF(COUNTIF($B$2:B160,B160)&gt;1,"Remove - duplicate ID","Keep")))</f>
        <v>Remove - duplicate ID</v>
      </c>
      <c r="R160" s="8" t="str">
        <f t="shared" si="29"/>
        <v>No</v>
      </c>
    </row>
    <row r="161" spans="1:18" x14ac:dyDescent="0.25">
      <c r="A161" s="8">
        <f>ROW(Raw_Data!A161)</f>
        <v>161</v>
      </c>
      <c r="B161" s="8" t="str">
        <f>TRIM(CLEAN(Raw_Data!A161))</f>
        <v>CUS02264</v>
      </c>
      <c r="C161" s="8" t="str">
        <f>IF(TRIM(CLEAN(Raw_Data!B161))="","Not Provided",PROPER(TRIM(CLEAN(Raw_Data!B161))))</f>
        <v>Hussein Hassan</v>
      </c>
      <c r="D161" s="8" t="str">
        <f>IF(OR(PROPER(TRIM(CLEAN(Raw_Data!C161)))="Male",PROPER(TRIM(CLEAN(Raw_Data!C161)))="Female"),PROPER(TRIM(CLEAN(Raw_Data!C161))),"Unknown")</f>
        <v>Male</v>
      </c>
      <c r="E161" s="11">
        <f>IF(ISNUMBER(Raw_Data!D161),Raw_Data!D161,IFERROR(DATEVALUE(Raw_Data!D161),""))</f>
        <v>28380</v>
      </c>
      <c r="F161" s="8" t="str">
        <f>IF(TRIM(CLEAN(Raw_Data!E161))="","Not Provided",TRIM(CLEAN(Raw_Data!E161)))</f>
        <v>1216614286</v>
      </c>
      <c r="G161" s="8" t="str">
        <f>IF(TRIM(CLEAN(Raw_Data!F161))="","Not Provided",LOWER(TRIM(CLEAN(Raw_Data!F161))))</f>
        <v>hussein.hassan95@hotmail.com</v>
      </c>
      <c r="H161" s="8" t="str">
        <f>IF(TRIM(CLEAN(Raw_Data!G161))="","Not Provided",PROPER(TRIM(CLEAN(Raw_Data!G161))))</f>
        <v>Giza</v>
      </c>
      <c r="I161" s="8" t="str">
        <f>IF(TRIM(CLEAN(Raw_Data!H161))="","Not Provided",PROPER(TRIM(CLEAN(Raw_Data!H161))))</f>
        <v>Greater Cairo</v>
      </c>
      <c r="J161" s="8" t="str">
        <f>IF(OR(PROPER(TRIM(CLEAN(Raw_Data!I161)))="Bronze",PROPER(TRIM(CLEAN(Raw_Data!I161)))="Silver",PROPER(TRIM(CLEAN(Raw_Data!I161)))="Gold"),PROPER(TRIM(CLEAN(Raw_Data!I161))),"Unknown")</f>
        <v>Silver</v>
      </c>
      <c r="K161" s="11">
        <f>IF(ISNUMBER(Raw_Data!J161),Raw_Data!J161,IFERROR(DATEVALUE(Raw_Data!J161),""))</f>
        <v>44585</v>
      </c>
      <c r="L161" s="8" t="str">
        <f t="shared" si="24"/>
        <v>hotmail.com</v>
      </c>
      <c r="M161" s="8" t="str">
        <f t="shared" si="25"/>
        <v>CUS</v>
      </c>
      <c r="N161" s="8" t="str">
        <f t="shared" si="26"/>
        <v>02264</v>
      </c>
      <c r="O161" s="8" t="str">
        <f t="shared" si="27"/>
        <v>4286</v>
      </c>
      <c r="P161" s="8" t="str">
        <f t="shared" si="28"/>
        <v>Hussein Hassan - Silver</v>
      </c>
      <c r="Q161" s="12" t="str">
        <f>IF(B161="","Remove - missing ID",IF(OR(E161="",K161=""),"Remove - invalid date",IF(COUNTIF($B$2:B161,B161)&gt;1,"Remove - duplicate ID","Keep")))</f>
        <v>Remove - duplicate ID</v>
      </c>
      <c r="R161" s="8" t="str">
        <f t="shared" si="29"/>
        <v>No</v>
      </c>
    </row>
    <row r="162" spans="1:18" x14ac:dyDescent="0.25">
      <c r="A162" s="8">
        <f>ROW(Raw_Data!A162)</f>
        <v>162</v>
      </c>
      <c r="B162" s="8" t="str">
        <f>TRIM(CLEAN(Raw_Data!A162))</f>
        <v>CUS00440</v>
      </c>
      <c r="C162" s="8" t="str">
        <f>IF(TRIM(CLEAN(Raw_Data!B162))="","Not Provided",PROPER(TRIM(CLEAN(Raw_Data!B162))))</f>
        <v>Ahmed Zaki (Duplicate Id)</v>
      </c>
      <c r="D162" s="8" t="str">
        <f>IF(OR(PROPER(TRIM(CLEAN(Raw_Data!C162)))="Male",PROPER(TRIM(CLEAN(Raw_Data!C162)))="Female"),PROPER(TRIM(CLEAN(Raw_Data!C162))),"Unknown")</f>
        <v>Male</v>
      </c>
      <c r="E162" s="11">
        <f>IF(ISNUMBER(Raw_Data!D162),Raw_Data!D162,IFERROR(DATEVALUE(Raw_Data!D162),""))</f>
        <v>30201</v>
      </c>
      <c r="F162" s="8" t="str">
        <f>IF(TRIM(CLEAN(Raw_Data!E162))="","Not Provided",TRIM(CLEAN(Raw_Data!E162)))</f>
        <v>1214344197</v>
      </c>
      <c r="G162" s="8" t="str">
        <f>IF(TRIM(CLEAN(Raw_Data!F162))="","Not Provided",LOWER(TRIM(CLEAN(Raw_Data!F162))))</f>
        <v>Not Provided</v>
      </c>
      <c r="H162" s="8" t="str">
        <f>IF(TRIM(CLEAN(Raw_Data!G162))="","Not Provided",PROPER(TRIM(CLEAN(Raw_Data!G162))))</f>
        <v>Cairo</v>
      </c>
      <c r="I162" s="8" t="str">
        <f>IF(TRIM(CLEAN(Raw_Data!H162))="","Not Provided",PROPER(TRIM(CLEAN(Raw_Data!H162))))</f>
        <v>Greater Cairo</v>
      </c>
      <c r="J162" s="8" t="str">
        <f>IF(OR(PROPER(TRIM(CLEAN(Raw_Data!I162)))="Bronze",PROPER(TRIM(CLEAN(Raw_Data!I162)))="Silver",PROPER(TRIM(CLEAN(Raw_Data!I162)))="Gold"),PROPER(TRIM(CLEAN(Raw_Data!I162))),"Unknown")</f>
        <v>Bronze</v>
      </c>
      <c r="K162" s="11">
        <f>IF(ISNUMBER(Raw_Data!J162),Raw_Data!J162,IFERROR(DATEVALUE(Raw_Data!J162),""))</f>
        <v>44928</v>
      </c>
      <c r="L162" s="8" t="str">
        <f t="shared" si="24"/>
        <v/>
      </c>
      <c r="M162" s="8" t="str">
        <f t="shared" si="25"/>
        <v>CUS</v>
      </c>
      <c r="N162" s="8" t="str">
        <f t="shared" si="26"/>
        <v>00440</v>
      </c>
      <c r="O162" s="8" t="str">
        <f t="shared" si="27"/>
        <v>4197</v>
      </c>
      <c r="P162" s="8" t="str">
        <f t="shared" si="28"/>
        <v>Ahmed Zaki (Duplicate Id) - Bronze</v>
      </c>
      <c r="Q162" s="12" t="str">
        <f>IF(B162="","Remove - missing ID",IF(OR(E162="",K162=""),"Remove - invalid date",IF(COUNTIF($B$2:B162,B162)&gt;1,"Remove - duplicate ID","Keep")))</f>
        <v>Remove - duplicate ID</v>
      </c>
      <c r="R162" s="8" t="str">
        <f t="shared" ref="R162:R166" si="30">IF(Q162="Keep","Yes","No")</f>
        <v>No</v>
      </c>
    </row>
    <row r="163" spans="1:18" x14ac:dyDescent="0.25">
      <c r="A163" s="8">
        <f>ROW(Raw_Data!A163)</f>
        <v>163</v>
      </c>
      <c r="B163" s="8" t="str">
        <f>TRIM(CLEAN(Raw_Data!A163))</f>
        <v>CUS02568</v>
      </c>
      <c r="C163" s="8" t="str">
        <f>IF(TRIM(CLEAN(Raw_Data!B163))="","Not Provided",PROPER(TRIM(CLEAN(Raw_Data!B163))))</f>
        <v>Rana Ismail (Duplicate Id)</v>
      </c>
      <c r="D163" s="8" t="str">
        <f>IF(OR(PROPER(TRIM(CLEAN(Raw_Data!C163)))="Male",PROPER(TRIM(CLEAN(Raw_Data!C163)))="Female"),PROPER(TRIM(CLEAN(Raw_Data!C163))),"Unknown")</f>
        <v>Female</v>
      </c>
      <c r="E163" s="11">
        <f>IF(ISNUMBER(Raw_Data!D163),Raw_Data!D163,IFERROR(DATEVALUE(Raw_Data!D163),""))</f>
        <v>34344</v>
      </c>
      <c r="F163" s="8" t="str">
        <f>IF(TRIM(CLEAN(Raw_Data!E163))="","Not Provided",TRIM(CLEAN(Raw_Data!E163)))</f>
        <v>1046060709</v>
      </c>
      <c r="G163" s="8" t="str">
        <f>IF(TRIM(CLEAN(Raw_Data!F163))="","Not Provided",LOWER(TRIM(CLEAN(Raw_Data!F163))))</f>
        <v>rana.ismail64@gmail.com</v>
      </c>
      <c r="H163" s="8" t="str">
        <f>IF(TRIM(CLEAN(Raw_Data!G163))="","Not Provided",PROPER(TRIM(CLEAN(Raw_Data!G163))))</f>
        <v>Giza</v>
      </c>
      <c r="I163" s="8" t="str">
        <f>IF(TRIM(CLEAN(Raw_Data!H163))="","Not Provided",PROPER(TRIM(CLEAN(Raw_Data!H163))))</f>
        <v>Greater Cairo</v>
      </c>
      <c r="J163" s="8" t="str">
        <f>IF(OR(PROPER(TRIM(CLEAN(Raw_Data!I163)))="Bronze",PROPER(TRIM(CLEAN(Raw_Data!I163)))="Silver",PROPER(TRIM(CLEAN(Raw_Data!I163)))="Gold"),PROPER(TRIM(CLEAN(Raw_Data!I163))),"Unknown")</f>
        <v>Gold</v>
      </c>
      <c r="K163" s="11">
        <f>IF(ISNUMBER(Raw_Data!J163),Raw_Data!J163,IFERROR(DATEVALUE(Raw_Data!J163),""))</f>
        <v>44243</v>
      </c>
      <c r="L163" s="8" t="str">
        <f t="shared" si="24"/>
        <v>gmail.com</v>
      </c>
      <c r="M163" s="8" t="str">
        <f t="shared" si="25"/>
        <v>CUS</v>
      </c>
      <c r="N163" s="8" t="str">
        <f t="shared" si="26"/>
        <v>02568</v>
      </c>
      <c r="O163" s="8" t="str">
        <f t="shared" si="27"/>
        <v>0709</v>
      </c>
      <c r="P163" s="8" t="str">
        <f t="shared" si="28"/>
        <v>Rana Ismail (Duplicate Id) - Gold</v>
      </c>
      <c r="Q163" s="12" t="str">
        <f>IF(B163="","Remove - missing ID",IF(OR(E163="",K163=""),"Remove - invalid date",IF(COUNTIF($B$2:B163,B163)&gt;1,"Remove - duplicate ID","Keep")))</f>
        <v>Remove - duplicate ID</v>
      </c>
      <c r="R163" s="8" t="str">
        <f t="shared" si="30"/>
        <v>No</v>
      </c>
    </row>
    <row r="164" spans="1:18" x14ac:dyDescent="0.25">
      <c r="A164" s="8">
        <f>ROW(Raw_Data!A164)</f>
        <v>164</v>
      </c>
      <c r="B164" s="8" t="str">
        <f>TRIM(CLEAN(Raw_Data!A164))</f>
        <v>CUS01042</v>
      </c>
      <c r="C164" s="8" t="str">
        <f>IF(TRIM(CLEAN(Raw_Data!B164))="","Not Provided",PROPER(TRIM(CLEAN(Raw_Data!B164))))</f>
        <v>Amr Salem (Duplicate Id)</v>
      </c>
      <c r="D164" s="8" t="str">
        <f>IF(OR(PROPER(TRIM(CLEAN(Raw_Data!C164)))="Male",PROPER(TRIM(CLEAN(Raw_Data!C164)))="Female"),PROPER(TRIM(CLEAN(Raw_Data!C164))),"Unknown")</f>
        <v>Male</v>
      </c>
      <c r="E164" s="11">
        <f>IF(ISNUMBER(Raw_Data!D164),Raw_Data!D164,IFERROR(DATEVALUE(Raw_Data!D164),""))</f>
        <v>37096</v>
      </c>
      <c r="F164" s="8" t="str">
        <f>IF(TRIM(CLEAN(Raw_Data!E164))="","Not Provided",TRIM(CLEAN(Raw_Data!E164)))</f>
        <v>1143524010</v>
      </c>
      <c r="G164" s="8" t="str">
        <f>IF(TRIM(CLEAN(Raw_Data!F164))="","Not Provided",LOWER(TRIM(CLEAN(Raw_Data!F164))))</f>
        <v>amr.salem38@yahoo.com</v>
      </c>
      <c r="H164" s="8" t="str">
        <f>IF(TRIM(CLEAN(Raw_Data!G164))="","Not Provided",PROPER(TRIM(CLEAN(Raw_Data!G164))))</f>
        <v>Hurghada</v>
      </c>
      <c r="I164" s="8" t="str">
        <f>IF(TRIM(CLEAN(Raw_Data!H164))="","Not Provided",PROPER(TRIM(CLEAN(Raw_Data!H164))))</f>
        <v>Red Sea</v>
      </c>
      <c r="J164" s="8" t="str">
        <f>IF(OR(PROPER(TRIM(CLEAN(Raw_Data!I164)))="Bronze",PROPER(TRIM(CLEAN(Raw_Data!I164)))="Silver",PROPER(TRIM(CLEAN(Raw_Data!I164)))="Gold"),PROPER(TRIM(CLEAN(Raw_Data!I164))),"Unknown")</f>
        <v>Bronze</v>
      </c>
      <c r="K164" s="11">
        <f>IF(ISNUMBER(Raw_Data!J164),Raw_Data!J164,IFERROR(DATEVALUE(Raw_Data!J164),""))</f>
        <v>44240</v>
      </c>
      <c r="L164" s="8" t="str">
        <f t="shared" si="24"/>
        <v>yahoo.com</v>
      </c>
      <c r="M164" s="8" t="str">
        <f t="shared" si="25"/>
        <v>CUS</v>
      </c>
      <c r="N164" s="8" t="str">
        <f t="shared" si="26"/>
        <v>01042</v>
      </c>
      <c r="O164" s="8" t="str">
        <f t="shared" si="27"/>
        <v>4010</v>
      </c>
      <c r="P164" s="8" t="str">
        <f t="shared" si="28"/>
        <v>Amr Salem (Duplicate Id) - Bronze</v>
      </c>
      <c r="Q164" s="12" t="str">
        <f>IF(B164="","Remove - missing ID",IF(OR(E164="",K164=""),"Remove - invalid date",IF(COUNTIF($B$2:B164,B164)&gt;1,"Remove - duplicate ID","Keep")))</f>
        <v>Remove - duplicate ID</v>
      </c>
      <c r="R164" s="8" t="str">
        <f t="shared" si="30"/>
        <v>No</v>
      </c>
    </row>
    <row r="165" spans="1:18" x14ac:dyDescent="0.25">
      <c r="A165" s="8">
        <f>ROW(Raw_Data!A165)</f>
        <v>165</v>
      </c>
      <c r="B165" s="8" t="str">
        <f>TRIM(CLEAN(Raw_Data!A165))</f>
        <v/>
      </c>
      <c r="C165" s="8" t="str">
        <f>IF(TRIM(CLEAN(Raw_Data!B165))="","Not Provided",PROPER(TRIM(CLEAN(Raw_Data!B165))))</f>
        <v>Fady Lotfy</v>
      </c>
      <c r="D165" s="8" t="str">
        <f>IF(OR(PROPER(TRIM(CLEAN(Raw_Data!C165)))="Male",PROPER(TRIM(CLEAN(Raw_Data!C165)))="Female"),PROPER(TRIM(CLEAN(Raw_Data!C165))),"Unknown")</f>
        <v>Male</v>
      </c>
      <c r="E165" s="11">
        <f>IF(ISNUMBER(Raw_Data!D165),Raw_Data!D165,IFERROR(DATEVALUE(Raw_Data!D165),""))</f>
        <v>32591</v>
      </c>
      <c r="F165" s="8" t="str">
        <f>IF(TRIM(CLEAN(Raw_Data!E165))="","Not Provided",TRIM(CLEAN(Raw_Data!E165)))</f>
        <v>1228177418</v>
      </c>
      <c r="G165" s="8" t="str">
        <f>IF(TRIM(CLEAN(Raw_Data!F165))="","Not Provided",LOWER(TRIM(CLEAN(Raw_Data!F165))))</f>
        <v>fady.lotfy20@gmail.com</v>
      </c>
      <c r="H165" s="8" t="str">
        <f>IF(TRIM(CLEAN(Raw_Data!G165))="","Not Provided",PROPER(TRIM(CLEAN(Raw_Data!G165))))</f>
        <v>Giza</v>
      </c>
      <c r="I165" s="8" t="str">
        <f>IF(TRIM(CLEAN(Raw_Data!H165))="","Not Provided",PROPER(TRIM(CLEAN(Raw_Data!H165))))</f>
        <v>Greater Cairo</v>
      </c>
      <c r="J165" s="8" t="str">
        <f>IF(OR(PROPER(TRIM(CLEAN(Raw_Data!I165)))="Bronze",PROPER(TRIM(CLEAN(Raw_Data!I165)))="Silver",PROPER(TRIM(CLEAN(Raw_Data!I165)))="Gold"),PROPER(TRIM(CLEAN(Raw_Data!I165))),"Unknown")</f>
        <v>Gold</v>
      </c>
      <c r="K165" s="11">
        <f>IF(ISNUMBER(Raw_Data!J165),Raw_Data!J165,IFERROR(DATEVALUE(Raw_Data!J165),""))</f>
        <v>44297</v>
      </c>
      <c r="L165" s="8" t="str">
        <f t="shared" si="24"/>
        <v>gmail.com</v>
      </c>
      <c r="M165" s="8" t="str">
        <f t="shared" si="25"/>
        <v/>
      </c>
      <c r="N165" s="8" t="str">
        <f t="shared" si="26"/>
        <v/>
      </c>
      <c r="O165" s="8" t="str">
        <f t="shared" si="27"/>
        <v>7418</v>
      </c>
      <c r="P165" s="8" t="str">
        <f t="shared" si="28"/>
        <v>Fady Lotfy - Gold</v>
      </c>
      <c r="Q165" s="12" t="str">
        <f>IF(B165="","Remove - missing ID",IF(OR(E165="",K165=""),"Remove - invalid date",IF(COUNTIF($B$2:B165,B165)&gt;1,"Remove - duplicate ID","Keep")))</f>
        <v>Remove - missing ID</v>
      </c>
      <c r="R165" s="8" t="str">
        <f t="shared" si="30"/>
        <v>No</v>
      </c>
    </row>
    <row r="166" spans="1:18" x14ac:dyDescent="0.25">
      <c r="A166" s="8">
        <f>ROW(Raw_Data!A166)</f>
        <v>166</v>
      </c>
      <c r="B166" s="8" t="str">
        <f>TRIM(CLEAN(Raw_Data!A166))</f>
        <v/>
      </c>
      <c r="C166" s="8" t="str">
        <f>IF(TRIM(CLEAN(Raw_Data!B166))="","Not Provided",PROPER(TRIM(CLEAN(Raw_Data!B166))))</f>
        <v>Dina Attia</v>
      </c>
      <c r="D166" s="8" t="str">
        <f>IF(OR(PROPER(TRIM(CLEAN(Raw_Data!C166)))="Male",PROPER(TRIM(CLEAN(Raw_Data!C166)))="Female"),PROPER(TRIM(CLEAN(Raw_Data!C166))),"Unknown")</f>
        <v>Female</v>
      </c>
      <c r="E166" s="11">
        <f>IF(ISNUMBER(Raw_Data!D166),Raw_Data!D166,IFERROR(DATEVALUE(Raw_Data!D166),""))</f>
        <v>28548</v>
      </c>
      <c r="F166" s="8" t="str">
        <f>IF(TRIM(CLEAN(Raw_Data!E166))="","Not Provided",TRIM(CLEAN(Raw_Data!E166)))</f>
        <v>1272850928</v>
      </c>
      <c r="G166" s="8" t="str">
        <f>IF(TRIM(CLEAN(Raw_Data!F166))="","Not Provided",LOWER(TRIM(CLEAN(Raw_Data!F166))))</f>
        <v>dina.attia61@yahoo.com</v>
      </c>
      <c r="H166" s="8" t="str">
        <f>IF(TRIM(CLEAN(Raw_Data!G166))="","Not Provided",PROPER(TRIM(CLEAN(Raw_Data!G166))))</f>
        <v>Alexandria</v>
      </c>
      <c r="I166" s="8" t="str">
        <f>IF(TRIM(CLEAN(Raw_Data!H166))="","Not Provided",PROPER(TRIM(CLEAN(Raw_Data!H166))))</f>
        <v>Alexandria</v>
      </c>
      <c r="J166" s="8" t="str">
        <f>IF(OR(PROPER(TRIM(CLEAN(Raw_Data!I166)))="Bronze",PROPER(TRIM(CLEAN(Raw_Data!I166)))="Silver",PROPER(TRIM(CLEAN(Raw_Data!I166)))="Gold"),PROPER(TRIM(CLEAN(Raw_Data!I166))),"Unknown")</f>
        <v>Gold</v>
      </c>
      <c r="K166" s="11">
        <f>IF(ISNUMBER(Raw_Data!J166),Raw_Data!J166,IFERROR(DATEVALUE(Raw_Data!J166),""))</f>
        <v>44283</v>
      </c>
      <c r="L166" s="8" t="str">
        <f t="shared" si="24"/>
        <v>yahoo.com</v>
      </c>
      <c r="M166" s="8" t="str">
        <f t="shared" si="25"/>
        <v/>
      </c>
      <c r="N166" s="8" t="str">
        <f t="shared" si="26"/>
        <v/>
      </c>
      <c r="O166" s="8" t="str">
        <f t="shared" si="27"/>
        <v>0928</v>
      </c>
      <c r="P166" s="8" t="str">
        <f t="shared" si="28"/>
        <v>Dina Attia - Gold</v>
      </c>
      <c r="Q166" s="12" t="str">
        <f>IF(B166="","Remove - missing ID",IF(OR(E166="",K166=""),"Remove - invalid date",IF(COUNTIF($B$2:B166,B166)&gt;1,"Remove - duplicate ID","Keep")))</f>
        <v>Remove - missing ID</v>
      </c>
      <c r="R166" s="8" t="str">
        <f t="shared" si="30"/>
        <v>No</v>
      </c>
    </row>
  </sheetData>
  <conditionalFormatting sqref="Q2:Q166">
    <cfRule type="cellIs" dxfId="20" priority="2" operator="equal">
      <formula>"Keep"</formula>
    </cfRule>
    <cfRule type="cellIs" dxfId="19" priority="3" operator="notEqual">
      <formula>"Keep"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zoomScale="85" zoomScaleNormal="85" workbookViewId="0">
      <selection activeCell="N26" sqref="N26"/>
    </sheetView>
  </sheetViews>
  <sheetFormatPr defaultColWidth="8.5703125" defaultRowHeight="15" x14ac:dyDescent="0.25"/>
  <cols>
    <col min="1" max="1" width="32" style="4" customWidth="1"/>
    <col min="2" max="3" width="16" style="4" customWidth="1"/>
    <col min="4" max="4" width="20" style="4" customWidth="1"/>
    <col min="5" max="16384" width="8.5703125" style="4"/>
  </cols>
  <sheetData>
    <row r="1" spans="1:4" ht="22.5" x14ac:dyDescent="0.3">
      <c r="A1" s="13" t="s">
        <v>496</v>
      </c>
      <c r="B1" s="13"/>
      <c r="C1" s="13"/>
      <c r="D1" s="13"/>
    </row>
    <row r="2" spans="1:4" x14ac:dyDescent="0.25">
      <c r="A2" s="5"/>
      <c r="B2" s="5"/>
      <c r="C2" s="5"/>
      <c r="D2" s="5"/>
    </row>
    <row r="3" spans="1:4" x14ac:dyDescent="0.25">
      <c r="A3" s="6" t="s">
        <v>497</v>
      </c>
      <c r="B3" s="6" t="s">
        <v>498</v>
      </c>
      <c r="C3" s="6" t="s">
        <v>499</v>
      </c>
      <c r="D3" s="6" t="s">
        <v>500</v>
      </c>
    </row>
    <row r="4" spans="1:4" x14ac:dyDescent="0.25">
      <c r="A4" s="8" t="s">
        <v>501</v>
      </c>
      <c r="B4" s="8">
        <f>COUNTA(Raw_Data!C:C)-1</f>
        <v>165</v>
      </c>
      <c r="C4" s="8">
        <f>COUNTIF(tblCleanFormula[Keep_Record],"Yes")</f>
        <v>135</v>
      </c>
      <c r="D4" s="8" t="s">
        <v>502</v>
      </c>
    </row>
    <row r="5" spans="1:4" x14ac:dyDescent="0.25">
      <c r="A5" s="8" t="s">
        <v>503</v>
      </c>
      <c r="B5" s="8">
        <f>COUNTIF(tblCleanFormula[Keep_Record],"Yes")</f>
        <v>135</v>
      </c>
      <c r="C5" s="8">
        <f>COUNTIF(tblCleanFormula[Keep_Record],"Yes")</f>
        <v>135</v>
      </c>
      <c r="D5" s="8" t="s">
        <v>502</v>
      </c>
    </row>
    <row r="6" spans="1:4" x14ac:dyDescent="0.25">
      <c r="A6" s="8" t="s">
        <v>504</v>
      </c>
      <c r="B6" s="8">
        <v>10</v>
      </c>
      <c r="C6" s="8">
        <v>0</v>
      </c>
      <c r="D6" s="8" t="s">
        <v>505</v>
      </c>
    </row>
    <row r="7" spans="1:4" x14ac:dyDescent="0.25">
      <c r="A7" s="8" t="s">
        <v>506</v>
      </c>
      <c r="B7" s="8">
        <v>38</v>
      </c>
      <c r="C7" s="8">
        <v>0</v>
      </c>
      <c r="D7" s="8" t="s">
        <v>507</v>
      </c>
    </row>
    <row r="8" spans="1:4" x14ac:dyDescent="0.25">
      <c r="A8" s="8" t="s">
        <v>508</v>
      </c>
      <c r="B8" s="8">
        <v>2</v>
      </c>
      <c r="C8" s="8">
        <v>0</v>
      </c>
      <c r="D8" s="8" t="s">
        <v>509</v>
      </c>
    </row>
    <row r="9" spans="1:4" x14ac:dyDescent="0.25">
      <c r="A9" s="8" t="s">
        <v>510</v>
      </c>
      <c r="B9" s="8">
        <f>B4-C4</f>
        <v>30</v>
      </c>
      <c r="C9" s="8">
        <v>0</v>
      </c>
      <c r="D9" s="8" t="s">
        <v>511</v>
      </c>
    </row>
    <row r="10" spans="1:4" x14ac:dyDescent="0.25">
      <c r="A10" s="8" t="s">
        <v>512</v>
      </c>
      <c r="B10" s="8">
        <v>38</v>
      </c>
      <c r="C10" s="8">
        <v>0</v>
      </c>
      <c r="D10" s="8" t="s">
        <v>513</v>
      </c>
    </row>
    <row r="11" spans="1:4" x14ac:dyDescent="0.25">
      <c r="A11" s="8"/>
      <c r="B11" s="8"/>
      <c r="C11" s="8"/>
      <c r="D11" s="8"/>
    </row>
    <row r="12" spans="1:4" x14ac:dyDescent="0.25">
      <c r="A12" s="5"/>
      <c r="B12" s="5"/>
      <c r="C12" s="5"/>
      <c r="D12" s="5"/>
    </row>
    <row r="13" spans="1:4" x14ac:dyDescent="0.25">
      <c r="A13" s="7" t="s">
        <v>514</v>
      </c>
      <c r="B13" s="7" t="s">
        <v>498</v>
      </c>
      <c r="C13" s="7" t="s">
        <v>499</v>
      </c>
      <c r="D13" s="7" t="s">
        <v>500</v>
      </c>
    </row>
    <row r="14" spans="1:4" x14ac:dyDescent="0.25">
      <c r="A14" s="8" t="s">
        <v>515</v>
      </c>
      <c r="B14" s="8">
        <v>10</v>
      </c>
      <c r="C14" s="8">
        <v>0</v>
      </c>
      <c r="D14" s="9" t="s">
        <v>516</v>
      </c>
    </row>
    <row r="15" spans="1:4" x14ac:dyDescent="0.25">
      <c r="A15" s="8" t="s">
        <v>517</v>
      </c>
      <c r="B15" s="8">
        <v>38</v>
      </c>
      <c r="C15" s="8">
        <v>0</v>
      </c>
      <c r="D15" s="9" t="s">
        <v>518</v>
      </c>
    </row>
    <row r="16" spans="1:4" x14ac:dyDescent="0.25">
      <c r="A16" s="8" t="s">
        <v>519</v>
      </c>
      <c r="B16" s="8">
        <v>2</v>
      </c>
      <c r="C16" s="8">
        <v>0</v>
      </c>
      <c r="D16" s="9" t="s">
        <v>509</v>
      </c>
    </row>
    <row r="17" spans="1:4" x14ac:dyDescent="0.25">
      <c r="A17" s="8" t="s">
        <v>520</v>
      </c>
      <c r="B17" s="8">
        <v>29</v>
      </c>
      <c r="C17" s="8">
        <v>0</v>
      </c>
      <c r="D17" s="9" t="s">
        <v>509</v>
      </c>
    </row>
    <row r="18" spans="1:4" x14ac:dyDescent="0.25">
      <c r="A18" s="8" t="s">
        <v>521</v>
      </c>
      <c r="B18" s="8">
        <v>4</v>
      </c>
      <c r="C18" s="8">
        <v>0</v>
      </c>
      <c r="D18" s="9" t="s">
        <v>513</v>
      </c>
    </row>
    <row r="19" spans="1:4" x14ac:dyDescent="0.25">
      <c r="A19" s="8" t="s">
        <v>522</v>
      </c>
      <c r="B19" s="8">
        <v>4</v>
      </c>
      <c r="C19" s="8">
        <v>0</v>
      </c>
      <c r="D19" s="9" t="s">
        <v>523</v>
      </c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Haji Hamid</cp:lastModifiedBy>
  <dcterms:modified xsi:type="dcterms:W3CDTF">2026-09-01T08:33:53Z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2026-09-01T03:20:19Z</dcterms:created>
  <dc:creator>openpyxl</dc:creator>
  <dc:description/>
  <dc:language>en-US</dc:language>
  <cp:lastModifiedBy/>
  <dcterms:modified xsi:type="dcterms:W3CDTF">2026-09-01T03:20:19Z</dcterms:modified>
  <cp:revision>0</cp:revision>
  <dc:subject/>
  <dc:title/>
</cp:coreProperties>
</file>