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0.xml" ContentType="application/vnd.ms-excel.person+xml"/>
  <Override PartName="/xl/persons/person.xml" ContentType="application/vnd.ms-excel.person+xml"/>
  <Override PartName="/xl/persons/person1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C3DD558F-CFC5-4CA5-B58D-F4907F370341}" xr6:coauthVersionLast="38" xr6:coauthVersionMax="47" xr10:uidLastSave="{00000000-0000-0000-0000-000000000000}"/>
  <bookViews>
    <workbookView xWindow="0" yWindow="0" windowWidth="28800" windowHeight="11325" xr2:uid="{00000000-000D-0000-FFFF-FFFF00000000}"/>
  </bookViews>
  <sheets>
    <sheet name="Ledger" sheetId="6" r:id="rId1"/>
    <sheet name="Trial Balance" sheetId="7" r:id="rId2"/>
    <sheet name="Income Statement" sheetId="1" r:id="rId3"/>
    <sheet name="Statement of Changes in Equity" sheetId="2" r:id="rId4"/>
    <sheet name="Balance Sheet" sheetId="3" r:id="rId5"/>
    <sheet name="Statement of Cash Flows" sheetId="4" r:id="rId6"/>
  </sheets>
  <definedNames>
    <definedName name="_xlnm.Print_Area" localSheetId="2">'Income Statement'!$A$1:$F$21</definedName>
    <definedName name="valuevx">42.314159</definedName>
    <definedName name="vertex42_copyright" hidden="1">"© 2008-2014 Vertex42 LLC"</definedName>
    <definedName name="vertex42_id" hidden="1">"income-statement.xlsx"</definedName>
    <definedName name="vertex42_title" hidden="1">"Income Statement Template"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9" i="6" l="1"/>
  <c r="D3" i="7" l="1"/>
  <c r="E45" i="4" l="1"/>
  <c r="D45" i="4"/>
  <c r="F45" i="4" s="1"/>
  <c r="F168" i="6" l="1"/>
  <c r="F169" i="6" s="1"/>
  <c r="F170" i="6" s="1"/>
  <c r="D18" i="7" s="1"/>
  <c r="F180" i="6"/>
  <c r="D20" i="7" s="1"/>
  <c r="D14" i="1" l="1"/>
  <c r="D12" i="1"/>
  <c r="G106" i="6"/>
  <c r="E6" i="1" l="1"/>
  <c r="F175" i="6" l="1"/>
  <c r="D19" i="7" s="1"/>
  <c r="F143" i="6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F159" i="6" s="1"/>
  <c r="F160" i="6" s="1"/>
  <c r="F161" i="6" s="1"/>
  <c r="F162" i="6" s="1"/>
  <c r="F163" i="6" s="1"/>
  <c r="D17" i="7" s="1"/>
  <c r="D13" i="1" l="1"/>
  <c r="D11" i="1"/>
  <c r="F200" i="6"/>
  <c r="D23" i="7" s="1"/>
  <c r="D17" i="1" s="1"/>
  <c r="F57" i="6"/>
  <c r="D5" i="7" s="1"/>
  <c r="F100" i="6" l="1"/>
  <c r="F101" i="6" l="1"/>
  <c r="F47" i="6"/>
  <c r="F48" i="6" s="1"/>
  <c r="D13" i="7" l="1"/>
  <c r="D8" i="2" s="1"/>
  <c r="D30" i="3" s="1"/>
  <c r="F49" i="6"/>
  <c r="F50" i="6" s="1"/>
  <c r="F51" i="6" s="1"/>
  <c r="F52" i="6" s="1"/>
  <c r="D4" i="7" s="1"/>
  <c r="E31" i="3"/>
  <c r="E33" i="3" s="1"/>
  <c r="E16" i="3"/>
  <c r="E9" i="3"/>
  <c r="E17" i="3" l="1"/>
  <c r="D7" i="3"/>
  <c r="D6" i="3"/>
  <c r="G72" i="6" l="1"/>
  <c r="E8" i="7" s="1"/>
  <c r="E18" i="1" l="1"/>
  <c r="E20" i="1" l="1"/>
  <c r="D8" i="3" l="1"/>
  <c r="F193" i="6" l="1"/>
  <c r="F185" i="6"/>
  <c r="F186" i="6" s="1"/>
  <c r="F187" i="6" s="1"/>
  <c r="F188" i="6" s="1"/>
  <c r="D21" i="7" s="1"/>
  <c r="F132" i="6"/>
  <c r="F119" i="6"/>
  <c r="G107" i="6"/>
  <c r="G108" i="6" s="1"/>
  <c r="G109" i="6" s="1"/>
  <c r="G110" i="6" s="1"/>
  <c r="G111" i="6" s="1"/>
  <c r="G112" i="6" s="1"/>
  <c r="G113" i="6" s="1"/>
  <c r="G94" i="6"/>
  <c r="E12" i="7" s="1"/>
  <c r="G88" i="6"/>
  <c r="G89" i="6" s="1"/>
  <c r="E11" i="7" s="1"/>
  <c r="G82" i="6"/>
  <c r="G83" i="6" s="1"/>
  <c r="E10" i="7" s="1"/>
  <c r="F77" i="6"/>
  <c r="F67" i="6"/>
  <c r="D7" i="7" s="1"/>
  <c r="F62" i="6"/>
  <c r="D6" i="7" s="1"/>
  <c r="D9" i="7" l="1"/>
  <c r="D13" i="3" s="1"/>
  <c r="G114" i="6"/>
  <c r="E14" i="7" s="1"/>
  <c r="D5" i="1"/>
  <c r="D6" i="1" s="1"/>
  <c r="D6" i="2"/>
  <c r="D15" i="1"/>
  <c r="F133" i="6"/>
  <c r="F120" i="6"/>
  <c r="F121" i="6" s="1"/>
  <c r="F122" i="6" s="1"/>
  <c r="F123" i="6" s="1"/>
  <c r="F124" i="6" s="1"/>
  <c r="F125" i="6" s="1"/>
  <c r="F126" i="6" s="1"/>
  <c r="F127" i="6" s="1"/>
  <c r="D15" i="7" s="1"/>
  <c r="F194" i="6"/>
  <c r="F195" i="6" s="1"/>
  <c r="D22" i="7" s="1"/>
  <c r="D5" i="2"/>
  <c r="D27" i="3"/>
  <c r="D16" i="1" l="1"/>
  <c r="D9" i="1"/>
  <c r="D11" i="3"/>
  <c r="F134" i="6"/>
  <c r="F135" i="6" s="1"/>
  <c r="D28" i="3"/>
  <c r="D12" i="3"/>
  <c r="D9" i="3"/>
  <c r="F136" i="6" l="1"/>
  <c r="D14" i="3"/>
  <c r="F7" i="4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137" i="6" l="1"/>
  <c r="F138" i="6" s="1"/>
  <c r="D16" i="7" s="1"/>
  <c r="D24" i="7" s="1"/>
  <c r="D15" i="3"/>
  <c r="D16" i="3" s="1"/>
  <c r="D17" i="3" s="1"/>
  <c r="E9" i="2"/>
  <c r="D10" i="1" l="1"/>
  <c r="D18" i="1" s="1"/>
  <c r="E24" i="7"/>
  <c r="D26" i="7" s="1"/>
  <c r="D20" i="1"/>
  <c r="D29" i="3" s="1"/>
  <c r="D31" i="3" l="1"/>
  <c r="D33" i="3" s="1"/>
  <c r="D7" i="2"/>
  <c r="D9" i="2" s="1"/>
</calcChain>
</file>

<file path=xl/sharedStrings.xml><?xml version="1.0" encoding="utf-8"?>
<sst xmlns="http://schemas.openxmlformats.org/spreadsheetml/2006/main" count="429" uniqueCount="103">
  <si>
    <t>Total</t>
  </si>
  <si>
    <t>1.6.1</t>
  </si>
  <si>
    <t>1.7.1</t>
  </si>
  <si>
    <t>[42]</t>
  </si>
  <si>
    <t>Laba Bersih</t>
  </si>
  <si>
    <t>Total Assets</t>
  </si>
  <si>
    <t>{42}</t>
  </si>
  <si>
    <t>Common Financial Ratios</t>
  </si>
  <si>
    <r>
      <t xml:space="preserve">Debt Ratio </t>
    </r>
    <r>
      <rPr>
        <sz val="10"/>
        <rFont val="Arial Narrow"/>
        <family val="2"/>
      </rPr>
      <t>(Total Liabilities / Total Assets)</t>
    </r>
  </si>
  <si>
    <t/>
  </si>
  <si>
    <r>
      <t xml:space="preserve">Current Ratio </t>
    </r>
    <r>
      <rPr>
        <sz val="10"/>
        <rFont val="Arial Narrow"/>
        <family val="2"/>
      </rPr>
      <t>(Current Assets / Current Liabilities)</t>
    </r>
  </si>
  <si>
    <r>
      <t xml:space="preserve">Working Capital </t>
    </r>
    <r>
      <rPr>
        <sz val="10"/>
        <rFont val="Arial Narrow"/>
        <family val="2"/>
      </rPr>
      <t>(Current Assets - Current Liabilities)</t>
    </r>
  </si>
  <si>
    <r>
      <t>Assets-to-Equity Ratio</t>
    </r>
    <r>
      <rPr>
        <sz val="10"/>
        <rFont val="Arial Narrow"/>
        <family val="2"/>
      </rPr>
      <t xml:space="preserve"> (Total Assets / Owner's Equity)</t>
    </r>
  </si>
  <si>
    <r>
      <t>Debt-to-Equity Ratio</t>
    </r>
    <r>
      <rPr>
        <sz val="10"/>
        <rFont val="Arial Narrow"/>
        <family val="2"/>
      </rPr>
      <t xml:space="preserve"> (Total Liabilities / Owner's Equity)</t>
    </r>
  </si>
  <si>
    <t>Debit</t>
  </si>
  <si>
    <t>Cash</t>
  </si>
  <si>
    <t>Date</t>
  </si>
  <si>
    <t>Description</t>
  </si>
  <si>
    <t>Credit</t>
  </si>
  <si>
    <t>Balance</t>
  </si>
  <si>
    <t>Operating Expenses</t>
  </si>
  <si>
    <t>Donation for the Prayer Room</t>
  </si>
  <si>
    <t>Salary Expense</t>
  </si>
  <si>
    <t>Administrative Expenses</t>
  </si>
  <si>
    <t>Revenue from VG</t>
  </si>
  <si>
    <t>Revenue from GA</t>
  </si>
  <si>
    <t>Consumption Expense</t>
  </si>
  <si>
    <t>Revenue from GPT</t>
  </si>
  <si>
    <t>Revenue from KA</t>
  </si>
  <si>
    <t>Driver's Salary Expense</t>
  </si>
  <si>
    <t>Assistant 1 Salary Expense</t>
  </si>
  <si>
    <t>Assistant 2 Salary Expense</t>
  </si>
  <si>
    <t>Revenue from PAP 1</t>
  </si>
  <si>
    <t>Revenue from MP</t>
  </si>
  <si>
    <t>Opening Balance</t>
  </si>
  <si>
    <t>GA Receivable</t>
  </si>
  <si>
    <t>GA Payment</t>
  </si>
  <si>
    <t>KV Receivable</t>
  </si>
  <si>
    <t>Account Receivable</t>
  </si>
  <si>
    <t>Allowance for Uncollectible Accounts</t>
  </si>
  <si>
    <t>Office</t>
  </si>
  <si>
    <t>Vehicle - Dump Truck</t>
  </si>
  <si>
    <t>Accumulated Depreciation – Vehicles – Dump Truck</t>
  </si>
  <si>
    <t>Depreciation Adjustment</t>
  </si>
  <si>
    <t>Vehicle - L300</t>
  </si>
  <si>
    <t>Accumulated Depreciation – Vehicles – L300</t>
  </si>
  <si>
    <t>Capital</t>
  </si>
  <si>
    <t>Owner's Drawings</t>
  </si>
  <si>
    <t>Retained Earning</t>
  </si>
  <si>
    <t>Retained Earnings, June 10, 2026</t>
  </si>
  <si>
    <t>Revenue from KV</t>
  </si>
  <si>
    <t>Revenue</t>
  </si>
  <si>
    <t>Fuel Expense</t>
  </si>
  <si>
    <t>Fuel Money</t>
  </si>
  <si>
    <t>Meal Allowance Expense</t>
  </si>
  <si>
    <t>Meal Allowance</t>
  </si>
  <si>
    <t>Levy Expense</t>
  </si>
  <si>
    <t>Levy</t>
  </si>
  <si>
    <t>Maintenance Expense</t>
  </si>
  <si>
    <t>Fee Expense</t>
  </si>
  <si>
    <t>Depreciation Expense</t>
  </si>
  <si>
    <t>L300 Depreciation</t>
  </si>
  <si>
    <t>Consumption Expenses and Others</t>
  </si>
  <si>
    <t>Bad Debt Expense</t>
  </si>
  <si>
    <t>Journal</t>
  </si>
  <si>
    <t>Account No</t>
  </si>
  <si>
    <t>PT MPM</t>
  </si>
  <si>
    <t>FOR THE PERIOD ENDED JULY 10, 2026</t>
  </si>
  <si>
    <t>JULY 2026</t>
  </si>
  <si>
    <t>JUNE 2026</t>
  </si>
  <si>
    <t>Total Revenue</t>
  </si>
  <si>
    <t>Refreshment and Miscellaneous Expenses</t>
  </si>
  <si>
    <t>Total Operating Expenses</t>
  </si>
  <si>
    <t>Statement of Changes in Equity</t>
  </si>
  <si>
    <t>Period Ended July 10, 2026</t>
  </si>
  <si>
    <t>Retained Earnings</t>
  </si>
  <si>
    <t>Net Profit (Loss)</t>
  </si>
  <si>
    <t>Personal</t>
  </si>
  <si>
    <t>AS OF JULY 10, 2026</t>
  </si>
  <si>
    <t>Assets</t>
  </si>
  <si>
    <t>Current Assets</t>
  </si>
  <si>
    <t>Fixed Assets</t>
  </si>
  <si>
    <t>Total Current Assets</t>
  </si>
  <si>
    <t>Total Fixed Assets</t>
  </si>
  <si>
    <t>Accounts Receivable</t>
  </si>
  <si>
    <t>Allowance for Doubtful Accounts</t>
  </si>
  <si>
    <t>Vehicles - Dump Truck</t>
  </si>
  <si>
    <t>Vehicles - L300</t>
  </si>
  <si>
    <t>Accumulated Depreciation - Dump Truck</t>
  </si>
  <si>
    <t>Accumulated Depreciation - L300</t>
  </si>
  <si>
    <t>Liabilities and Equity</t>
  </si>
  <si>
    <t>Current Liabilities</t>
  </si>
  <si>
    <t>Total Current Liabilities</t>
  </si>
  <si>
    <t>Long-term Debt</t>
  </si>
  <si>
    <t>Total Long-term Debt</t>
  </si>
  <si>
    <t>Equity</t>
  </si>
  <si>
    <t>Total Equity</t>
  </si>
  <si>
    <t>Total Liabilities and Equity</t>
  </si>
  <si>
    <t>Statement of Cash Flows</t>
  </si>
  <si>
    <t>PERIOD OF JULY 10, 2026</t>
  </si>
  <si>
    <t>Ending Cash Balance</t>
  </si>
  <si>
    <t>Income Statement</t>
  </si>
  <si>
    <t>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</si>
</sst>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_);_(* \(#,##0.0\);_(* &quot;-&quot;??_);_(@_)"/>
    <numFmt numFmtId="167" formatCode="_-[$Rp-3809]* #,##0_-;\-[$Rp-3809]* #,##0_-;_-[$Rp-3809]* &quot;-&quot;_-;_-@_-"/>
  </numFmts>
  <fonts count="57" x14ac:knownFonts="1"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2"/>
      <color indexed="9"/>
      <name val="Arial"/>
      <family val="2"/>
    </font>
    <font>
      <b/>
      <sz val="14"/>
      <color indexed="9"/>
      <name val="Arial"/>
      <family val="1"/>
      <scheme val="major"/>
    </font>
    <font>
      <sz val="10"/>
      <name val="Arial"/>
      <family val="1"/>
      <scheme val="major"/>
    </font>
    <font>
      <sz val="16"/>
      <name val="Arial"/>
      <family val="1"/>
      <scheme val="major"/>
    </font>
    <font>
      <sz val="10"/>
      <name val="Arial"/>
      <family val="2"/>
      <scheme val="minor"/>
    </font>
    <font>
      <b/>
      <sz val="12"/>
      <name val="Arial"/>
      <family val="2"/>
      <scheme val="minor"/>
    </font>
    <font>
      <sz val="2"/>
      <color indexed="9"/>
      <name val="Arial"/>
      <family val="2"/>
      <scheme val="minor"/>
    </font>
    <font>
      <u/>
      <sz val="10"/>
      <color indexed="12"/>
      <name val="Arial"/>
      <family val="2"/>
    </font>
    <font>
      <b/>
      <sz val="9"/>
      <color theme="4"/>
      <name val="Arial"/>
      <family val="2"/>
    </font>
    <font>
      <b/>
      <sz val="11"/>
      <color indexed="9"/>
      <name val="Arial"/>
      <family val="2"/>
    </font>
    <font>
      <b/>
      <sz val="10"/>
      <name val="Arial"/>
      <family val="2"/>
      <scheme val="minor"/>
    </font>
    <font>
      <sz val="11"/>
      <name val="Arial"/>
      <family val="2"/>
      <scheme val="minor"/>
    </font>
    <font>
      <u/>
      <sz val="10"/>
      <color indexed="12"/>
      <name val="Arial"/>
      <family val="2"/>
      <scheme val="minor"/>
    </font>
    <font>
      <b/>
      <sz val="12"/>
      <name val="Arial"/>
      <family val="1"/>
      <scheme val="major"/>
    </font>
    <font>
      <b/>
      <sz val="16"/>
      <name val="Arial"/>
      <family val="2"/>
      <scheme val="major"/>
    </font>
    <font>
      <sz val="11"/>
      <name val="Arial"/>
      <family val="2"/>
    </font>
    <font>
      <b/>
      <sz val="16"/>
      <name val="Arial Narrow"/>
      <family val="2"/>
    </font>
    <font>
      <sz val="11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2"/>
      <color indexed="9"/>
      <name val="Arial Narrow"/>
      <family val="2"/>
    </font>
    <font>
      <sz val="12"/>
      <name val="Arial Narrow"/>
      <family val="2"/>
    </font>
    <font>
      <b/>
      <sz val="11"/>
      <name val="Arial Narrow"/>
      <family val="2"/>
    </font>
    <font>
      <b/>
      <sz val="14"/>
      <color indexed="9"/>
      <name val="Arial Narrow"/>
      <family val="2"/>
    </font>
    <font>
      <b/>
      <sz val="12"/>
      <name val="Arial Narrow"/>
      <family val="2"/>
    </font>
    <font>
      <b/>
      <sz val="18"/>
      <name val="Arial Narrow"/>
      <family val="2"/>
    </font>
    <font>
      <sz val="16"/>
      <name val="Arial Narrow"/>
      <family val="2"/>
    </font>
    <font>
      <b/>
      <sz val="11"/>
      <color indexed="9"/>
      <name val="Arial Narrow"/>
      <family val="2"/>
    </font>
    <font>
      <sz val="10"/>
      <color indexed="9"/>
      <name val="Arial Narrow"/>
      <family val="2"/>
    </font>
    <font>
      <b/>
      <i/>
      <sz val="11"/>
      <name val="Arial Narrow"/>
      <family val="2"/>
    </font>
    <font>
      <b/>
      <i/>
      <sz val="10"/>
      <name val="Arial Narrow"/>
      <family val="2"/>
    </font>
    <font>
      <sz val="2"/>
      <color indexed="9"/>
      <name val="Arial Narrow"/>
      <family val="2"/>
    </font>
    <font>
      <i/>
      <sz val="11"/>
      <name val="Arial Narrow"/>
      <family val="2"/>
    </font>
    <font>
      <sz val="11"/>
      <color theme="1"/>
      <name val="Arial Narrow"/>
      <family val="2"/>
    </font>
  </fonts>
  <fills count="2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9BB97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8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NumberFormat="0" applyBorder="0" applyAlignment="0" applyProtection="0"/>
    <xf numFmtId="0" fontId="9" fillId="17" borderId="1" applyNumberFormat="0" applyAlignment="0" applyProtection="0"/>
    <xf numFmtId="0" fontId="10" fillId="18" borderId="2" applyNumberFormat="0" applyAlignment="0" applyProtection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19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6" fillId="11" borderId="1" applyNumberFormat="0" applyAlignment="0" applyProtection="0"/>
    <xf numFmtId="0" fontId="17" fillId="0" borderId="6" applyNumberFormat="0" applyFill="0" applyAlignment="0" applyProtection="0"/>
    <xf numFmtId="0" fontId="18" fillId="5" borderId="0" applyNumberFormat="0" applyBorder="0" applyAlignment="0" applyProtection="0"/>
    <xf numFmtId="0" fontId="2" fillId="5" borderId="7" applyNumberFormat="0" applyFont="0" applyAlignment="0" applyProtection="0"/>
    <xf numFmtId="0" fontId="19" fillId="17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1" fillId="5" borderId="7" applyNumberFormat="0" applyFont="0" applyAlignment="0" applyProtection="0"/>
    <xf numFmtId="9" fontId="1" fillId="0" borderId="0" applyFont="0" applyFill="0" applyBorder="0" applyAlignment="0" applyProtection="0"/>
    <xf numFmtId="0" fontId="34" fillId="0" borderId="0"/>
    <xf numFmtId="0" fontId="35" fillId="0" borderId="0" applyNumberFormat="0" applyFill="0" applyBorder="0" applyAlignment="0" applyProtection="0">
      <alignment vertical="top"/>
      <protection locked="0"/>
    </xf>
    <xf numFmtId="43" fontId="38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0" fillId="0" borderId="0" xfId="35" applyAlignment="1" applyProtection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5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 applyProtection="1">
      <alignment vertical="center"/>
      <protection locked="0"/>
    </xf>
    <xf numFmtId="0" fontId="29" fillId="0" borderId="0" xfId="0" applyFont="1" applyAlignment="1">
      <alignment horizontal="right" vertical="center"/>
    </xf>
    <xf numFmtId="41" fontId="28" fillId="20" borderId="10" xfId="0" applyNumberFormat="1" applyFont="1" applyFill="1" applyBorder="1" applyAlignment="1">
      <alignment vertical="center"/>
    </xf>
    <xf numFmtId="0" fontId="28" fillId="21" borderId="0" xfId="0" applyFont="1" applyFill="1" applyAlignment="1">
      <alignment vertical="center"/>
    </xf>
    <xf numFmtId="0" fontId="26" fillId="0" borderId="0" xfId="0" applyFont="1" applyAlignment="1" applyProtection="1">
      <alignment vertical="center"/>
      <protection locked="0"/>
    </xf>
    <xf numFmtId="0" fontId="31" fillId="0" borderId="0" xfId="0" applyFont="1" applyAlignment="1">
      <alignment vertical="center"/>
    </xf>
    <xf numFmtId="0" fontId="28" fillId="20" borderId="10" xfId="0" applyFont="1" applyFill="1" applyBorder="1" applyAlignment="1">
      <alignment vertical="center"/>
    </xf>
    <xf numFmtId="0" fontId="33" fillId="0" borderId="0" xfId="0" applyFont="1" applyAlignment="1" applyProtection="1">
      <alignment horizontal="right" vertical="center"/>
      <protection locked="0"/>
    </xf>
    <xf numFmtId="0" fontId="36" fillId="0" borderId="0" xfId="0" applyFont="1" applyAlignment="1">
      <alignment horizontal="right" vertical="center"/>
    </xf>
    <xf numFmtId="0" fontId="37" fillId="0" borderId="0" xfId="0" applyFont="1" applyAlignment="1" applyProtection="1">
      <alignment vertical="center"/>
      <protection locked="0"/>
    </xf>
    <xf numFmtId="0" fontId="40" fillId="0" borderId="0" xfId="0" applyFont="1"/>
    <xf numFmtId="0" fontId="41" fillId="0" borderId="0" xfId="0" applyFont="1" applyAlignment="1">
      <alignment vertical="center"/>
    </xf>
    <xf numFmtId="0" fontId="41" fillId="0" borderId="0" xfId="0" applyFont="1" applyAlignment="1" applyProtection="1">
      <alignment horizontal="right" vertical="center"/>
      <protection locked="0"/>
    </xf>
    <xf numFmtId="0" fontId="41" fillId="0" borderId="0" xfId="0" applyFont="1" applyAlignment="1" applyProtection="1">
      <alignment vertical="center"/>
      <protection locked="0"/>
    </xf>
    <xf numFmtId="164" fontId="45" fillId="0" borderId="0" xfId="0" applyNumberFormat="1" applyFont="1" applyAlignment="1" applyProtection="1">
      <alignment horizontal="right" vertical="center"/>
      <protection locked="0"/>
    </xf>
    <xf numFmtId="15" fontId="44" fillId="0" borderId="0" xfId="0" applyNumberFormat="1" applyFont="1" applyAlignment="1" applyProtection="1">
      <alignment vertical="center"/>
      <protection locked="0"/>
    </xf>
    <xf numFmtId="0" fontId="44" fillId="0" borderId="0" xfId="0" applyFont="1" applyAlignment="1" applyProtection="1">
      <alignment vertical="center"/>
      <protection locked="0"/>
    </xf>
    <xf numFmtId="0" fontId="47" fillId="21" borderId="0" xfId="0" applyFont="1" applyFill="1" applyAlignment="1">
      <alignment vertical="center"/>
    </xf>
    <xf numFmtId="0" fontId="48" fillId="0" borderId="0" xfId="0" applyFont="1" applyAlignment="1" applyProtection="1">
      <alignment vertical="center"/>
      <protection locked="0"/>
    </xf>
    <xf numFmtId="0" fontId="49" fillId="0" borderId="0" xfId="0" applyFont="1" applyAlignment="1" applyProtection="1">
      <alignment vertical="center"/>
      <protection locked="0"/>
    </xf>
    <xf numFmtId="0" fontId="39" fillId="0" borderId="0" xfId="0" applyFont="1" applyAlignment="1">
      <alignment horizontal="right" vertical="center"/>
    </xf>
    <xf numFmtId="0" fontId="41" fillId="0" borderId="0" xfId="0" applyFont="1" applyAlignment="1">
      <alignment horizontal="left" vertical="center"/>
    </xf>
    <xf numFmtId="0" fontId="41" fillId="0" borderId="0" xfId="0" applyFont="1" applyAlignment="1" applyProtection="1">
      <alignment horizontal="left" vertical="center"/>
      <protection locked="0"/>
    </xf>
    <xf numFmtId="0" fontId="42" fillId="0" borderId="0" xfId="0" applyFont="1" applyAlignment="1">
      <alignment horizontal="right" vertical="center"/>
    </xf>
    <xf numFmtId="0" fontId="41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0" fontId="52" fillId="22" borderId="0" xfId="0" applyFont="1" applyFill="1" applyAlignment="1">
      <alignment vertical="center"/>
    </xf>
    <xf numFmtId="0" fontId="53" fillId="22" borderId="0" xfId="0" applyFont="1" applyFill="1" applyAlignment="1">
      <alignment vertical="center"/>
    </xf>
    <xf numFmtId="41" fontId="41" fillId="22" borderId="0" xfId="28" applyNumberFormat="1" applyFont="1" applyFill="1" applyAlignment="1" applyProtection="1">
      <alignment vertical="center"/>
    </xf>
    <xf numFmtId="41" fontId="41" fillId="0" borderId="0" xfId="28" applyNumberFormat="1" applyFont="1" applyAlignment="1" applyProtection="1">
      <alignment vertical="center"/>
      <protection locked="0"/>
    </xf>
    <xf numFmtId="0" fontId="47" fillId="22" borderId="0" xfId="0" applyFont="1" applyFill="1" applyAlignment="1">
      <alignment vertical="center"/>
    </xf>
    <xf numFmtId="0" fontId="54" fillId="0" borderId="0" xfId="0" applyFont="1" applyAlignment="1">
      <alignment horizontal="right" vertical="center"/>
    </xf>
    <xf numFmtId="0" fontId="42" fillId="21" borderId="0" xfId="0" applyFont="1" applyFill="1" applyAlignment="1">
      <alignment vertical="center"/>
    </xf>
    <xf numFmtId="2" fontId="41" fillId="21" borderId="0" xfId="45" applyNumberFormat="1" applyFont="1" applyFill="1" applyAlignment="1" applyProtection="1">
      <alignment vertical="center"/>
    </xf>
    <xf numFmtId="41" fontId="41" fillId="21" borderId="0" xfId="28" applyNumberFormat="1" applyFont="1" applyFill="1" applyAlignment="1" applyProtection="1">
      <alignment vertical="center"/>
    </xf>
    <xf numFmtId="14" fontId="45" fillId="0" borderId="0" xfId="0" applyNumberFormat="1" applyFont="1" applyAlignment="1" applyProtection="1">
      <alignment horizontal="right" vertical="center"/>
      <protection locked="0"/>
    </xf>
    <xf numFmtId="0" fontId="40" fillId="0" borderId="0" xfId="0" applyFont="1" applyAlignment="1" applyProtection="1">
      <alignment vertical="center"/>
      <protection locked="0"/>
    </xf>
    <xf numFmtId="41" fontId="40" fillId="0" borderId="0" xfId="28" applyNumberFormat="1" applyFont="1" applyAlignment="1" applyProtection="1">
      <alignment vertical="center"/>
      <protection locked="0"/>
    </xf>
    <xf numFmtId="0" fontId="55" fillId="0" borderId="0" xfId="0" applyFont="1" applyAlignment="1">
      <alignment horizontal="right" vertical="center"/>
    </xf>
    <xf numFmtId="165" fontId="40" fillId="0" borderId="0" xfId="48" applyNumberFormat="1" applyFont="1"/>
    <xf numFmtId="166" fontId="40" fillId="0" borderId="0" xfId="48" applyNumberFormat="1" applyFont="1"/>
    <xf numFmtId="16" fontId="40" fillId="0" borderId="0" xfId="0" applyNumberFormat="1" applyFont="1"/>
    <xf numFmtId="165" fontId="56" fillId="0" borderId="0" xfId="48" applyNumberFormat="1" applyFont="1" applyBorder="1"/>
    <xf numFmtId="165" fontId="56" fillId="0" borderId="0" xfId="48" applyNumberFormat="1" applyFont="1" applyFill="1" applyBorder="1"/>
    <xf numFmtId="165" fontId="56" fillId="0" borderId="0" xfId="48" applyNumberFormat="1" applyFont="1"/>
    <xf numFmtId="166" fontId="56" fillId="0" borderId="0" xfId="48" applyNumberFormat="1" applyFont="1"/>
    <xf numFmtId="166" fontId="56" fillId="0" borderId="0" xfId="48" applyNumberFormat="1" applyFont="1" applyBorder="1"/>
    <xf numFmtId="166" fontId="56" fillId="0" borderId="0" xfId="48" applyNumberFormat="1" applyFont="1" applyAlignment="1">
      <alignment horizontal="right"/>
    </xf>
    <xf numFmtId="43" fontId="56" fillId="0" borderId="0" xfId="48" applyFont="1" applyBorder="1"/>
    <xf numFmtId="165" fontId="56" fillId="0" borderId="0" xfId="48" applyNumberFormat="1" applyFont="1" applyBorder="1" applyAlignment="1">
      <alignment vertical="center"/>
    </xf>
    <xf numFmtId="0" fontId="47" fillId="20" borderId="10" xfId="0" applyFont="1" applyFill="1" applyBorder="1" applyAlignment="1">
      <alignment vertical="center"/>
    </xf>
    <xf numFmtId="41" fontId="47" fillId="20" borderId="10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67" fontId="47" fillId="22" borderId="10" xfId="0" applyNumberFormat="1" applyFont="1" applyFill="1" applyBorder="1" applyAlignment="1">
      <alignment vertical="center"/>
    </xf>
    <xf numFmtId="0" fontId="46" fillId="23" borderId="0" xfId="0" applyFont="1" applyFill="1" applyAlignment="1">
      <alignment horizontal="center" vertical="center"/>
    </xf>
    <xf numFmtId="0" fontId="24" fillId="23" borderId="0" xfId="0" applyFont="1" applyFill="1" applyAlignment="1">
      <alignment vertical="center"/>
    </xf>
    <xf numFmtId="0" fontId="32" fillId="23" borderId="0" xfId="0" quotePrefix="1" applyFont="1" applyFill="1" applyAlignment="1" applyProtection="1">
      <alignment horizontal="center" vertical="center" wrapText="1"/>
      <protection locked="0"/>
    </xf>
    <xf numFmtId="0" fontId="3" fillId="23" borderId="0" xfId="0" applyFont="1" applyFill="1" applyAlignment="1">
      <alignment vertical="center"/>
    </xf>
    <xf numFmtId="0" fontId="46" fillId="23" borderId="0" xfId="0" applyFont="1" applyFill="1" applyAlignment="1">
      <alignment vertical="center"/>
    </xf>
    <xf numFmtId="0" fontId="43" fillId="23" borderId="0" xfId="0" applyFont="1" applyFill="1" applyAlignment="1">
      <alignment horizontal="center" vertical="center"/>
    </xf>
    <xf numFmtId="0" fontId="24" fillId="0" borderId="0" xfId="0" applyFont="1" applyAlignment="1">
      <alignment vertical="center"/>
    </xf>
    <xf numFmtId="17" fontId="50" fillId="23" borderId="0" xfId="0" quotePrefix="1" applyNumberFormat="1" applyFont="1" applyFill="1" applyAlignment="1" applyProtection="1">
      <alignment horizontal="center" vertical="center"/>
      <protection locked="0"/>
    </xf>
    <xf numFmtId="41" fontId="0" fillId="0" borderId="0" xfId="0" applyNumberFormat="1"/>
    <xf numFmtId="167" fontId="40" fillId="21" borderId="11" xfId="28" applyNumberFormat="1" applyFont="1" applyFill="1" applyBorder="1" applyAlignment="1" applyProtection="1">
      <alignment vertical="center"/>
    </xf>
    <xf numFmtId="167" fontId="41" fillId="21" borderId="11" xfId="28" applyNumberFormat="1" applyFont="1" applyFill="1" applyBorder="1" applyAlignment="1" applyProtection="1">
      <alignment vertical="center"/>
    </xf>
    <xf numFmtId="38" fontId="44" fillId="0" borderId="12" xfId="28" applyNumberFormat="1" applyFont="1" applyBorder="1" applyAlignment="1" applyProtection="1">
      <alignment vertical="center"/>
      <protection locked="0"/>
    </xf>
    <xf numFmtId="38" fontId="44" fillId="0" borderId="12" xfId="28" applyNumberFormat="1" applyFont="1" applyFill="1" applyBorder="1" applyAlignment="1" applyProtection="1">
      <alignment vertical="center"/>
      <protection locked="0"/>
    </xf>
    <xf numFmtId="15" fontId="40" fillId="0" borderId="0" xfId="0" applyNumberFormat="1" applyFont="1"/>
    <xf numFmtId="0" fontId="55" fillId="0" borderId="0" xfId="0" applyFont="1" applyAlignment="1">
      <alignment horizontal="left" vertical="center"/>
    </xf>
    <xf numFmtId="165" fontId="56" fillId="0" borderId="0" xfId="48" applyNumberFormat="1" applyFont="1" applyBorder="1" applyAlignment="1">
      <alignment horizontal="center" vertical="center"/>
    </xf>
    <xf numFmtId="166" fontId="56" fillId="0" borderId="0" xfId="48" applyNumberFormat="1" applyFont="1" applyBorder="1" applyAlignment="1">
      <alignment vertical="center"/>
    </xf>
    <xf numFmtId="0" fontId="40" fillId="0" borderId="0" xfId="0" applyFont="1" applyAlignment="1">
      <alignment horizontal="left" vertical="center"/>
    </xf>
    <xf numFmtId="0" fontId="40" fillId="0" borderId="13" xfId="0" applyFont="1" applyBorder="1"/>
    <xf numFmtId="16" fontId="40" fillId="0" borderId="13" xfId="0" applyNumberFormat="1" applyFont="1" applyBorder="1"/>
    <xf numFmtId="15" fontId="40" fillId="0" borderId="13" xfId="0" applyNumberFormat="1" applyFont="1" applyBorder="1"/>
    <xf numFmtId="165" fontId="56" fillId="0" borderId="13" xfId="48" applyNumberFormat="1" applyFont="1" applyBorder="1"/>
    <xf numFmtId="166" fontId="56" fillId="0" borderId="13" xfId="48" applyNumberFormat="1" applyFont="1" applyFill="1" applyBorder="1"/>
    <xf numFmtId="165" fontId="56" fillId="0" borderId="13" xfId="48" applyNumberFormat="1" applyFont="1" applyFill="1" applyBorder="1"/>
    <xf numFmtId="0" fontId="40" fillId="0" borderId="13" xfId="0" applyFont="1" applyBorder="1" applyAlignment="1">
      <alignment horizontal="left" vertical="top"/>
    </xf>
    <xf numFmtId="165" fontId="56" fillId="0" borderId="13" xfId="48" applyNumberFormat="1" applyFont="1" applyBorder="1" applyAlignment="1">
      <alignment horizontal="center" vertical="center"/>
    </xf>
    <xf numFmtId="165" fontId="56" fillId="0" borderId="13" xfId="48" applyNumberFormat="1" applyFont="1" applyBorder="1" applyAlignment="1">
      <alignment vertical="center"/>
    </xf>
    <xf numFmtId="166" fontId="56" fillId="0" borderId="13" xfId="48" applyNumberFormat="1" applyFont="1" applyBorder="1" applyAlignment="1">
      <alignment vertical="center"/>
    </xf>
    <xf numFmtId="0" fontId="40" fillId="0" borderId="13" xfId="0" applyFont="1" applyBorder="1" applyAlignment="1">
      <alignment horizontal="left" vertical="center"/>
    </xf>
    <xf numFmtId="166" fontId="56" fillId="0" borderId="13" xfId="48" applyNumberFormat="1" applyFont="1" applyBorder="1"/>
    <xf numFmtId="43" fontId="56" fillId="0" borderId="13" xfId="48" applyFont="1" applyBorder="1"/>
    <xf numFmtId="165" fontId="56" fillId="0" borderId="13" xfId="48" applyNumberFormat="1" applyFont="1" applyFill="1" applyBorder="1" applyAlignment="1">
      <alignment horizontal="center" vertical="center"/>
    </xf>
    <xf numFmtId="41" fontId="44" fillId="0" borderId="12" xfId="28" applyNumberFormat="1" applyFont="1" applyBorder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41" fontId="27" fillId="0" borderId="12" xfId="28" applyNumberFormat="1" applyFont="1" applyBorder="1" applyAlignment="1" applyProtection="1">
      <alignment vertical="center"/>
      <protection locked="0"/>
    </xf>
    <xf numFmtId="41" fontId="28" fillId="21" borderId="11" xfId="0" applyNumberFormat="1" applyFont="1" applyFill="1" applyBorder="1" applyAlignment="1">
      <alignment vertical="center"/>
    </xf>
    <xf numFmtId="41" fontId="27" fillId="0" borderId="12" xfId="28" applyNumberFormat="1" applyFont="1" applyBorder="1" applyAlignment="1" applyProtection="1">
      <alignment horizontal="right" vertical="center"/>
      <protection locked="0"/>
    </xf>
    <xf numFmtId="42" fontId="1" fillId="0" borderId="0" xfId="0" applyNumberFormat="1" applyFont="1" applyAlignment="1">
      <alignment vertical="center"/>
    </xf>
    <xf numFmtId="38" fontId="47" fillId="21" borderId="11" xfId="0" applyNumberFormat="1" applyFont="1" applyFill="1" applyBorder="1" applyAlignment="1">
      <alignment vertical="center"/>
    </xf>
    <xf numFmtId="165" fontId="56" fillId="0" borderId="14" xfId="48" applyNumberFormat="1" applyFont="1" applyBorder="1"/>
    <xf numFmtId="166" fontId="56" fillId="0" borderId="14" xfId="48" applyNumberFormat="1" applyFont="1" applyBorder="1"/>
    <xf numFmtId="15" fontId="40" fillId="0" borderId="14" xfId="0" applyNumberFormat="1" applyFont="1" applyBorder="1"/>
    <xf numFmtId="0" fontId="40" fillId="0" borderId="14" xfId="0" applyFont="1" applyBorder="1" applyAlignment="1">
      <alignment horizontal="left" vertical="center"/>
    </xf>
    <xf numFmtId="165" fontId="56" fillId="0" borderId="14" xfId="48" applyNumberFormat="1" applyFont="1" applyBorder="1" applyAlignment="1">
      <alignment horizontal="center" vertical="center"/>
    </xf>
    <xf numFmtId="165" fontId="56" fillId="0" borderId="14" xfId="48" applyNumberFormat="1" applyFont="1" applyBorder="1" applyAlignment="1">
      <alignment vertical="center"/>
    </xf>
    <xf numFmtId="166" fontId="56" fillId="0" borderId="14" xfId="48" applyNumberFormat="1" applyFont="1" applyBorder="1" applyAlignment="1">
      <alignment vertical="center"/>
    </xf>
    <xf numFmtId="165" fontId="40" fillId="0" borderId="13" xfId="48" applyNumberFormat="1" applyFont="1" applyBorder="1" applyAlignment="1">
      <alignment horizontal="center" vertical="center"/>
    </xf>
    <xf numFmtId="165" fontId="40" fillId="0" borderId="13" xfId="48" applyNumberFormat="1" applyFont="1" applyBorder="1" applyAlignment="1">
      <alignment horizontal="center" vertical="center"/>
    </xf>
    <xf numFmtId="166" fontId="40" fillId="0" borderId="13" xfId="48" applyNumberFormat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165" fontId="40" fillId="0" borderId="13" xfId="48" applyNumberFormat="1" applyFont="1" applyBorder="1" applyAlignment="1">
      <alignment horizontal="center" vertical="center"/>
    </xf>
    <xf numFmtId="0" fontId="39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40" fillId="0" borderId="14" xfId="0" applyFont="1" applyBorder="1"/>
    <xf numFmtId="0" fontId="55" fillId="0" borderId="0" xfId="0" applyFont="1" applyAlignment="1">
      <alignment horizontal="right" vertic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8" builtinId="3"/>
    <cellStyle name="Currency" xfId="28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 customBuiltin="1"/>
    <cellStyle name="Hyperlink 2" xfId="47" xr:uid="{23AF4868-9B2C-40D3-8DEC-6BB3CBA078E6}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 customBuiltin="1"/>
    <cellStyle name="Normal 2" xfId="46" xr:uid="{9A3636FD-2D0E-426D-B84F-F7159969DDE6}"/>
    <cellStyle name="Note" xfId="39" builtinId="10" customBuiltin="1"/>
    <cellStyle name="Note 2" xfId="44" xr:uid="{0B7DCABB-64FF-412D-A632-577976BECB10}"/>
    <cellStyle name="Output" xfId="40" builtinId="21" customBuiltin="1"/>
    <cellStyle name="Percent 2" xfId="45" xr:uid="{22B65BCE-0142-48EF-A14C-E4F0514114D0}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19BB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0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microsoft.com/office/2017/10/relationships/person" Target="persons/pers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V42-Blue2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2F34-A3A5-4F65-8E07-5C8D5E07B15C}">
  <dimension ref="B2:G200"/>
  <sheetViews>
    <sheetView tabSelected="1" workbookViewId="0">
      <selection activeCell="B2" sqref="B2"/>
    </sheetView>
  </sheetViews>
  <sheetFormatPr defaultRowHeight="16.5" x14ac:dyDescent="0.3"/>
  <cols>
    <col min="1" max="1" width="9" style="20"/>
    <col min="2" max="2" width="9.25" style="20" bestFit="1" customWidth="1"/>
    <col min="3" max="3" width="37.375" style="20" customWidth="1"/>
    <col min="4" max="4" width="12.875" style="49" bestFit="1" customWidth="1"/>
    <col min="5" max="5" width="13.375" style="49" bestFit="1" customWidth="1"/>
    <col min="6" max="6" width="15.25" style="49" customWidth="1"/>
    <col min="7" max="7" width="15.25" style="50" customWidth="1"/>
    <col min="8" max="8" width="9" style="20"/>
    <col min="9" max="12" width="9.125" style="20" customWidth="1"/>
    <col min="13" max="16384" width="9" style="20"/>
  </cols>
  <sheetData>
    <row r="2" spans="2:7" x14ac:dyDescent="0.3">
      <c r="B2" s="20" t="s">
        <v>15</v>
      </c>
      <c r="G2" s="50">
        <v>1.1000000000000001</v>
      </c>
    </row>
    <row r="3" spans="2:7" x14ac:dyDescent="0.3">
      <c r="B3" s="114" t="s">
        <v>16</v>
      </c>
      <c r="C3" s="114" t="s">
        <v>17</v>
      </c>
      <c r="D3" s="115" t="s">
        <v>14</v>
      </c>
      <c r="E3" s="115" t="s">
        <v>18</v>
      </c>
      <c r="F3" s="115" t="s">
        <v>19</v>
      </c>
      <c r="G3" s="115"/>
    </row>
    <row r="4" spans="2:7" x14ac:dyDescent="0.3">
      <c r="B4" s="114"/>
      <c r="C4" s="114"/>
      <c r="D4" s="115"/>
      <c r="E4" s="115"/>
      <c r="F4" s="111" t="s">
        <v>14</v>
      </c>
      <c r="G4" s="113" t="s">
        <v>18</v>
      </c>
    </row>
    <row r="5" spans="2:7" x14ac:dyDescent="0.3">
      <c r="B5" s="84">
        <v>46184</v>
      </c>
      <c r="C5" s="82" t="s">
        <v>34</v>
      </c>
      <c r="D5" s="85">
        <v>20117100</v>
      </c>
      <c r="E5" s="85"/>
      <c r="F5" s="85">
        <v>20117100</v>
      </c>
      <c r="G5" s="86"/>
    </row>
    <row r="6" spans="2:7" x14ac:dyDescent="0.3">
      <c r="B6" s="84">
        <v>46184</v>
      </c>
      <c r="C6" s="82" t="s">
        <v>20</v>
      </c>
      <c r="D6" s="87"/>
      <c r="E6" s="87">
        <v>420000</v>
      </c>
      <c r="F6" s="87">
        <v>19697100</v>
      </c>
      <c r="G6" s="86"/>
    </row>
    <row r="7" spans="2:7" x14ac:dyDescent="0.3">
      <c r="B7" s="84">
        <v>46185</v>
      </c>
      <c r="C7" s="82" t="s">
        <v>20</v>
      </c>
      <c r="D7" s="87"/>
      <c r="E7" s="87">
        <v>100000</v>
      </c>
      <c r="F7" s="87">
        <v>19597100</v>
      </c>
      <c r="G7" s="86"/>
    </row>
    <row r="8" spans="2:7" x14ac:dyDescent="0.3">
      <c r="B8" s="84">
        <v>46188</v>
      </c>
      <c r="C8" s="82" t="s">
        <v>20</v>
      </c>
      <c r="D8" s="87"/>
      <c r="E8" s="87">
        <v>780000</v>
      </c>
      <c r="F8" s="87">
        <v>18817100</v>
      </c>
      <c r="G8" s="86"/>
    </row>
    <row r="9" spans="2:7" x14ac:dyDescent="0.3">
      <c r="B9" s="84">
        <v>46189</v>
      </c>
      <c r="C9" s="82" t="s">
        <v>20</v>
      </c>
      <c r="D9" s="87"/>
      <c r="E9" s="87">
        <v>100000</v>
      </c>
      <c r="F9" s="87">
        <v>18717100</v>
      </c>
      <c r="G9" s="86"/>
    </row>
    <row r="10" spans="2:7" x14ac:dyDescent="0.3">
      <c r="B10" s="84">
        <v>46189</v>
      </c>
      <c r="C10" s="82" t="s">
        <v>21</v>
      </c>
      <c r="D10" s="87"/>
      <c r="E10" s="87">
        <v>186000</v>
      </c>
      <c r="F10" s="87">
        <v>18531100</v>
      </c>
      <c r="G10" s="82"/>
    </row>
    <row r="11" spans="2:7" x14ac:dyDescent="0.3">
      <c r="B11" s="84">
        <v>46190</v>
      </c>
      <c r="C11" s="82" t="s">
        <v>20</v>
      </c>
      <c r="D11" s="87"/>
      <c r="E11" s="87">
        <v>100000</v>
      </c>
      <c r="F11" s="87">
        <v>18431100</v>
      </c>
      <c r="G11" s="86"/>
    </row>
    <row r="12" spans="2:7" x14ac:dyDescent="0.3">
      <c r="B12" s="84">
        <v>46191</v>
      </c>
      <c r="C12" s="82" t="s">
        <v>20</v>
      </c>
      <c r="D12" s="87"/>
      <c r="E12" s="87">
        <v>350000</v>
      </c>
      <c r="F12" s="87">
        <v>18081100</v>
      </c>
      <c r="G12" s="86"/>
    </row>
    <row r="13" spans="2:7" x14ac:dyDescent="0.3">
      <c r="B13" s="84">
        <v>46192</v>
      </c>
      <c r="C13" s="82" t="s">
        <v>20</v>
      </c>
      <c r="D13" s="87"/>
      <c r="E13" s="87">
        <v>50000</v>
      </c>
      <c r="F13" s="87">
        <v>18031100</v>
      </c>
      <c r="G13" s="86"/>
    </row>
    <row r="14" spans="2:7" x14ac:dyDescent="0.3">
      <c r="B14" s="84">
        <v>46192</v>
      </c>
      <c r="C14" s="82" t="s">
        <v>22</v>
      </c>
      <c r="D14" s="87"/>
      <c r="E14" s="87">
        <v>650000</v>
      </c>
      <c r="F14" s="87">
        <v>17381100</v>
      </c>
      <c r="G14" s="82"/>
    </row>
    <row r="15" spans="2:7" x14ac:dyDescent="0.3">
      <c r="B15" s="84">
        <v>46193</v>
      </c>
      <c r="C15" s="82" t="s">
        <v>20</v>
      </c>
      <c r="D15" s="87"/>
      <c r="E15" s="87">
        <v>100000</v>
      </c>
      <c r="F15" s="87">
        <v>17281100</v>
      </c>
      <c r="G15" s="82"/>
    </row>
    <row r="16" spans="2:7" x14ac:dyDescent="0.3">
      <c r="B16" s="84">
        <v>46195</v>
      </c>
      <c r="C16" s="82" t="s">
        <v>20</v>
      </c>
      <c r="D16" s="87"/>
      <c r="E16" s="87">
        <v>580000</v>
      </c>
      <c r="F16" s="87">
        <v>16701100</v>
      </c>
      <c r="G16" s="82"/>
    </row>
    <row r="17" spans="2:7" x14ac:dyDescent="0.3">
      <c r="B17" s="84">
        <v>46196</v>
      </c>
      <c r="C17" s="82" t="s">
        <v>20</v>
      </c>
      <c r="D17" s="85"/>
      <c r="E17" s="87">
        <v>100000</v>
      </c>
      <c r="F17" s="87">
        <v>16601100</v>
      </c>
      <c r="G17" s="82"/>
    </row>
    <row r="18" spans="2:7" x14ac:dyDescent="0.3">
      <c r="B18" s="84">
        <v>46197</v>
      </c>
      <c r="C18" s="82" t="s">
        <v>20</v>
      </c>
      <c r="D18" s="85"/>
      <c r="E18" s="87">
        <v>300000</v>
      </c>
      <c r="F18" s="87">
        <v>16301100</v>
      </c>
      <c r="G18" s="82"/>
    </row>
    <row r="19" spans="2:7" x14ac:dyDescent="0.3">
      <c r="B19" s="84">
        <v>46197</v>
      </c>
      <c r="C19" s="82" t="s">
        <v>23</v>
      </c>
      <c r="D19" s="85"/>
      <c r="E19" s="87">
        <v>4000</v>
      </c>
      <c r="F19" s="87">
        <v>16297100</v>
      </c>
      <c r="G19" s="82"/>
    </row>
    <row r="20" spans="2:7" x14ac:dyDescent="0.3">
      <c r="B20" s="84">
        <v>46198</v>
      </c>
      <c r="C20" s="82" t="s">
        <v>20</v>
      </c>
      <c r="D20" s="87"/>
      <c r="E20" s="87">
        <v>420000</v>
      </c>
      <c r="F20" s="87">
        <v>15877100</v>
      </c>
      <c r="G20" s="82"/>
    </row>
    <row r="21" spans="2:7" x14ac:dyDescent="0.3">
      <c r="B21" s="84">
        <v>46198</v>
      </c>
      <c r="C21" s="82" t="s">
        <v>24</v>
      </c>
      <c r="D21" s="87">
        <v>84000</v>
      </c>
      <c r="E21" s="87"/>
      <c r="F21" s="87">
        <v>15961100</v>
      </c>
      <c r="G21" s="82"/>
    </row>
    <row r="22" spans="2:7" x14ac:dyDescent="0.3">
      <c r="B22" s="84">
        <v>46200</v>
      </c>
      <c r="C22" s="82" t="s">
        <v>20</v>
      </c>
      <c r="D22" s="87"/>
      <c r="E22" s="87">
        <v>100000</v>
      </c>
      <c r="F22" s="87">
        <v>15861100</v>
      </c>
      <c r="G22" s="82"/>
    </row>
    <row r="23" spans="2:7" x14ac:dyDescent="0.3">
      <c r="B23" s="84">
        <v>46202</v>
      </c>
      <c r="C23" s="82" t="s">
        <v>20</v>
      </c>
      <c r="D23" s="87"/>
      <c r="E23" s="87">
        <v>530000</v>
      </c>
      <c r="F23" s="87">
        <v>15331100</v>
      </c>
      <c r="G23" s="82"/>
    </row>
    <row r="24" spans="2:7" x14ac:dyDescent="0.3">
      <c r="B24" s="84">
        <v>46202</v>
      </c>
      <c r="C24" s="82" t="s">
        <v>24</v>
      </c>
      <c r="D24" s="87">
        <v>265000</v>
      </c>
      <c r="E24" s="87"/>
      <c r="F24" s="87">
        <v>15596100</v>
      </c>
      <c r="G24" s="82"/>
    </row>
    <row r="25" spans="2:7" x14ac:dyDescent="0.3">
      <c r="B25" s="84">
        <v>46202</v>
      </c>
      <c r="C25" s="88" t="s">
        <v>24</v>
      </c>
      <c r="D25" s="85">
        <v>200000</v>
      </c>
      <c r="E25" s="85"/>
      <c r="F25" s="87">
        <v>15796100</v>
      </c>
      <c r="G25" s="82"/>
    </row>
    <row r="26" spans="2:7" x14ac:dyDescent="0.3">
      <c r="B26" s="84">
        <v>46204</v>
      </c>
      <c r="C26" s="88" t="s">
        <v>20</v>
      </c>
      <c r="D26" s="85"/>
      <c r="E26" s="85">
        <v>150000</v>
      </c>
      <c r="F26" s="87">
        <v>15646100</v>
      </c>
      <c r="G26" s="82"/>
    </row>
    <row r="27" spans="2:7" x14ac:dyDescent="0.3">
      <c r="B27" s="84">
        <v>46205</v>
      </c>
      <c r="C27" s="88" t="s">
        <v>20</v>
      </c>
      <c r="D27" s="85"/>
      <c r="E27" s="85">
        <v>440000</v>
      </c>
      <c r="F27" s="87">
        <v>15206100</v>
      </c>
      <c r="G27" s="82"/>
    </row>
    <row r="28" spans="2:7" x14ac:dyDescent="0.3">
      <c r="B28" s="84">
        <v>46206</v>
      </c>
      <c r="C28" s="88" t="s">
        <v>20</v>
      </c>
      <c r="D28" s="85"/>
      <c r="E28" s="85">
        <v>200000</v>
      </c>
      <c r="F28" s="87">
        <v>15006100</v>
      </c>
      <c r="G28" s="82"/>
    </row>
    <row r="29" spans="2:7" x14ac:dyDescent="0.3">
      <c r="B29" s="84">
        <v>46206</v>
      </c>
      <c r="C29" s="82" t="s">
        <v>25</v>
      </c>
      <c r="D29" s="87">
        <v>2145000</v>
      </c>
      <c r="E29" s="87"/>
      <c r="F29" s="87">
        <v>17151100</v>
      </c>
      <c r="G29" s="82"/>
    </row>
    <row r="30" spans="2:7" x14ac:dyDescent="0.3">
      <c r="B30" s="84">
        <v>46209</v>
      </c>
      <c r="C30" s="82" t="s">
        <v>20</v>
      </c>
      <c r="D30" s="87"/>
      <c r="E30" s="87">
        <v>650000</v>
      </c>
      <c r="F30" s="87">
        <v>16501100</v>
      </c>
      <c r="G30" s="82"/>
    </row>
    <row r="31" spans="2:7" x14ac:dyDescent="0.3">
      <c r="B31" s="84">
        <v>46209</v>
      </c>
      <c r="C31" s="82" t="s">
        <v>26</v>
      </c>
      <c r="D31" s="87"/>
      <c r="E31" s="87">
        <v>35000</v>
      </c>
      <c r="F31" s="87">
        <v>16466100</v>
      </c>
      <c r="G31" s="82"/>
    </row>
    <row r="32" spans="2:7" x14ac:dyDescent="0.3">
      <c r="B32" s="84">
        <v>46211</v>
      </c>
      <c r="C32" s="82" t="s">
        <v>20</v>
      </c>
      <c r="D32" s="87"/>
      <c r="E32" s="87">
        <v>100000</v>
      </c>
      <c r="F32" s="87">
        <v>16366100</v>
      </c>
      <c r="G32" s="82"/>
    </row>
    <row r="33" spans="2:7" x14ac:dyDescent="0.3">
      <c r="B33" s="84">
        <v>46211</v>
      </c>
      <c r="C33" s="82" t="s">
        <v>28</v>
      </c>
      <c r="D33" s="87">
        <v>1804000</v>
      </c>
      <c r="E33" s="87"/>
      <c r="F33" s="87">
        <v>18170100</v>
      </c>
      <c r="G33" s="82"/>
    </row>
    <row r="34" spans="2:7" x14ac:dyDescent="0.3">
      <c r="B34" s="84">
        <v>46211</v>
      </c>
      <c r="C34" s="82" t="s">
        <v>26</v>
      </c>
      <c r="D34" s="87"/>
      <c r="E34" s="87">
        <v>15000</v>
      </c>
      <c r="F34" s="87">
        <v>18155100</v>
      </c>
      <c r="G34" s="82"/>
    </row>
    <row r="35" spans="2:7" x14ac:dyDescent="0.3">
      <c r="B35" s="84">
        <v>46212</v>
      </c>
      <c r="C35" s="82" t="s">
        <v>20</v>
      </c>
      <c r="D35" s="85"/>
      <c r="E35" s="87">
        <v>350000</v>
      </c>
      <c r="F35" s="87">
        <v>17805100</v>
      </c>
      <c r="G35" s="82"/>
    </row>
    <row r="36" spans="2:7" x14ac:dyDescent="0.3">
      <c r="B36" s="84">
        <v>46212</v>
      </c>
      <c r="C36" s="82" t="s">
        <v>27</v>
      </c>
      <c r="D36" s="85">
        <v>650000</v>
      </c>
      <c r="E36" s="87"/>
      <c r="F36" s="87">
        <v>18455100</v>
      </c>
      <c r="G36" s="82"/>
    </row>
    <row r="37" spans="2:7" x14ac:dyDescent="0.3">
      <c r="B37" s="84">
        <v>46213</v>
      </c>
      <c r="C37" s="82" t="s">
        <v>20</v>
      </c>
      <c r="D37" s="85"/>
      <c r="E37" s="87">
        <v>200000</v>
      </c>
      <c r="F37" s="87">
        <v>18255100</v>
      </c>
      <c r="G37" s="82"/>
    </row>
    <row r="38" spans="2:7" x14ac:dyDescent="0.3">
      <c r="B38" s="84">
        <v>46213</v>
      </c>
      <c r="C38" s="82" t="s">
        <v>29</v>
      </c>
      <c r="D38" s="85"/>
      <c r="E38" s="87">
        <v>700000</v>
      </c>
      <c r="F38" s="87">
        <v>17555100</v>
      </c>
      <c r="G38" s="82"/>
    </row>
    <row r="39" spans="2:7" x14ac:dyDescent="0.3">
      <c r="B39" s="84">
        <v>46213</v>
      </c>
      <c r="C39" s="82" t="s">
        <v>30</v>
      </c>
      <c r="D39" s="87"/>
      <c r="E39" s="87">
        <v>700000</v>
      </c>
      <c r="F39" s="87">
        <v>16855100</v>
      </c>
      <c r="G39" s="82"/>
    </row>
    <row r="40" spans="2:7" x14ac:dyDescent="0.3">
      <c r="B40" s="84">
        <v>46213</v>
      </c>
      <c r="C40" s="82" t="s">
        <v>31</v>
      </c>
      <c r="D40" s="87"/>
      <c r="E40" s="87">
        <v>700000</v>
      </c>
      <c r="F40" s="87">
        <v>16155100</v>
      </c>
      <c r="G40" s="82"/>
    </row>
    <row r="41" spans="2:7" x14ac:dyDescent="0.3">
      <c r="B41" s="84">
        <v>46213</v>
      </c>
      <c r="C41" s="82" t="s">
        <v>32</v>
      </c>
      <c r="D41" s="87">
        <v>936000</v>
      </c>
      <c r="E41" s="87"/>
      <c r="F41" s="87">
        <v>17091100</v>
      </c>
      <c r="G41" s="82"/>
    </row>
    <row r="42" spans="2:7" x14ac:dyDescent="0.3">
      <c r="B42" s="84">
        <v>46213</v>
      </c>
      <c r="C42" s="82" t="s">
        <v>33</v>
      </c>
      <c r="D42" s="87">
        <v>3015000</v>
      </c>
      <c r="E42" s="87"/>
      <c r="F42" s="87">
        <v>20106100</v>
      </c>
      <c r="G42" s="82"/>
    </row>
    <row r="43" spans="2:7" x14ac:dyDescent="0.3">
      <c r="B43" s="51"/>
      <c r="D43" s="52"/>
      <c r="E43" s="52"/>
      <c r="F43" s="53"/>
      <c r="G43" s="20"/>
    </row>
    <row r="44" spans="2:7" x14ac:dyDescent="0.3">
      <c r="B44" s="20" t="s">
        <v>38</v>
      </c>
      <c r="D44" s="54"/>
      <c r="E44" s="54"/>
      <c r="F44" s="54"/>
      <c r="G44" s="55">
        <v>1.2</v>
      </c>
    </row>
    <row r="45" spans="2:7" x14ac:dyDescent="0.3">
      <c r="B45" s="114" t="s">
        <v>16</v>
      </c>
      <c r="C45" s="114" t="s">
        <v>17</v>
      </c>
      <c r="D45" s="115" t="s">
        <v>14</v>
      </c>
      <c r="E45" s="115" t="s">
        <v>18</v>
      </c>
      <c r="F45" s="115" t="s">
        <v>19</v>
      </c>
      <c r="G45" s="115"/>
    </row>
    <row r="46" spans="2:7" x14ac:dyDescent="0.3">
      <c r="B46" s="114"/>
      <c r="C46" s="114"/>
      <c r="D46" s="115"/>
      <c r="E46" s="115"/>
      <c r="F46" s="111" t="s">
        <v>14</v>
      </c>
      <c r="G46" s="113" t="s">
        <v>18</v>
      </c>
    </row>
    <row r="47" spans="2:7" x14ac:dyDescent="0.3">
      <c r="B47" s="84">
        <v>46184</v>
      </c>
      <c r="C47" s="92" t="s">
        <v>34</v>
      </c>
      <c r="D47" s="89">
        <v>2962000</v>
      </c>
      <c r="E47" s="89"/>
      <c r="F47" s="90">
        <f>D47</f>
        <v>2962000</v>
      </c>
      <c r="G47" s="91"/>
    </row>
    <row r="48" spans="2:7" x14ac:dyDescent="0.3">
      <c r="B48" s="84">
        <v>46204</v>
      </c>
      <c r="C48" s="82" t="s">
        <v>35</v>
      </c>
      <c r="D48" s="104">
        <v>468000</v>
      </c>
      <c r="E48" s="104"/>
      <c r="F48" s="104">
        <f>F47+D48-E48</f>
        <v>3430000</v>
      </c>
      <c r="G48" s="105"/>
    </row>
    <row r="49" spans="2:7" x14ac:dyDescent="0.3">
      <c r="B49" s="84">
        <v>46204</v>
      </c>
      <c r="C49" s="82" t="s">
        <v>36</v>
      </c>
      <c r="D49" s="104"/>
      <c r="E49" s="104">
        <v>36000</v>
      </c>
      <c r="F49" s="104">
        <f t="shared" ref="F49:F52" si="0">F48+D49-E49</f>
        <v>3394000</v>
      </c>
      <c r="G49" s="105"/>
    </row>
    <row r="50" spans="2:7" x14ac:dyDescent="0.3">
      <c r="B50" s="84">
        <v>46206</v>
      </c>
      <c r="C50" s="82" t="s">
        <v>35</v>
      </c>
      <c r="D50" s="104">
        <v>216000</v>
      </c>
      <c r="E50" s="104"/>
      <c r="F50" s="104">
        <f t="shared" si="0"/>
        <v>3610000</v>
      </c>
      <c r="G50" s="105"/>
    </row>
    <row r="51" spans="2:7" x14ac:dyDescent="0.3">
      <c r="B51" s="84">
        <v>46206</v>
      </c>
      <c r="C51" s="82" t="s">
        <v>36</v>
      </c>
      <c r="D51" s="104"/>
      <c r="E51" s="104">
        <v>234000</v>
      </c>
      <c r="F51" s="104">
        <f t="shared" si="0"/>
        <v>3376000</v>
      </c>
      <c r="G51" s="105"/>
    </row>
    <row r="52" spans="2:7" x14ac:dyDescent="0.3">
      <c r="B52" s="84">
        <v>46213</v>
      </c>
      <c r="C52" s="82" t="s">
        <v>37</v>
      </c>
      <c r="D52" s="104">
        <v>1920000</v>
      </c>
      <c r="E52" s="104"/>
      <c r="F52" s="104">
        <f t="shared" si="0"/>
        <v>5296000</v>
      </c>
      <c r="G52" s="105"/>
    </row>
    <row r="53" spans="2:7" x14ac:dyDescent="0.3">
      <c r="B53" s="51"/>
      <c r="D53" s="52"/>
      <c r="E53" s="52"/>
      <c r="F53" s="52"/>
      <c r="G53" s="56"/>
    </row>
    <row r="54" spans="2:7" x14ac:dyDescent="0.3">
      <c r="B54" s="20" t="s">
        <v>39</v>
      </c>
      <c r="D54" s="54"/>
      <c r="E54" s="54"/>
      <c r="F54" s="54"/>
      <c r="G54" s="55">
        <v>1.3</v>
      </c>
    </row>
    <row r="55" spans="2:7" x14ac:dyDescent="0.3">
      <c r="B55" s="114" t="s">
        <v>16</v>
      </c>
      <c r="C55" s="114" t="s">
        <v>17</v>
      </c>
      <c r="D55" s="115" t="s">
        <v>14</v>
      </c>
      <c r="E55" s="115" t="s">
        <v>18</v>
      </c>
      <c r="F55" s="115" t="s">
        <v>19</v>
      </c>
      <c r="G55" s="115"/>
    </row>
    <row r="56" spans="2:7" x14ac:dyDescent="0.3">
      <c r="B56" s="114"/>
      <c r="C56" s="114"/>
      <c r="D56" s="115"/>
      <c r="E56" s="115"/>
      <c r="F56" s="111" t="s">
        <v>14</v>
      </c>
      <c r="G56" s="113" t="s">
        <v>18</v>
      </c>
    </row>
    <row r="57" spans="2:7" x14ac:dyDescent="0.3">
      <c r="B57" s="84">
        <v>46123</v>
      </c>
      <c r="C57" s="82"/>
      <c r="D57" s="89"/>
      <c r="E57" s="89"/>
      <c r="F57" s="90">
        <f>D57</f>
        <v>0</v>
      </c>
      <c r="G57" s="91"/>
    </row>
    <row r="58" spans="2:7" x14ac:dyDescent="0.3">
      <c r="B58" s="51"/>
      <c r="D58" s="52"/>
      <c r="E58" s="52"/>
      <c r="F58" s="52"/>
      <c r="G58" s="56"/>
    </row>
    <row r="59" spans="2:7" x14ac:dyDescent="0.3">
      <c r="B59" s="20" t="s">
        <v>40</v>
      </c>
      <c r="D59" s="54"/>
      <c r="E59" s="54"/>
      <c r="F59" s="54"/>
      <c r="G59" s="55">
        <v>1.5</v>
      </c>
    </row>
    <row r="60" spans="2:7" x14ac:dyDescent="0.3">
      <c r="B60" s="114" t="s">
        <v>16</v>
      </c>
      <c r="C60" s="114" t="s">
        <v>17</v>
      </c>
      <c r="D60" s="115" t="s">
        <v>14</v>
      </c>
      <c r="E60" s="115" t="s">
        <v>18</v>
      </c>
      <c r="F60" s="115" t="s">
        <v>19</v>
      </c>
      <c r="G60" s="115"/>
    </row>
    <row r="61" spans="2:7" x14ac:dyDescent="0.3">
      <c r="B61" s="114"/>
      <c r="C61" s="114"/>
      <c r="D61" s="115"/>
      <c r="E61" s="115"/>
      <c r="F61" s="111" t="s">
        <v>14</v>
      </c>
      <c r="G61" s="113" t="s">
        <v>18</v>
      </c>
    </row>
    <row r="62" spans="2:7" x14ac:dyDescent="0.3">
      <c r="B62" s="84">
        <v>45870</v>
      </c>
      <c r="C62" s="82" t="s">
        <v>40</v>
      </c>
      <c r="D62" s="85">
        <v>1000000000</v>
      </c>
      <c r="E62" s="85"/>
      <c r="F62" s="85">
        <f>D62</f>
        <v>1000000000</v>
      </c>
      <c r="G62" s="93"/>
    </row>
    <row r="63" spans="2:7" x14ac:dyDescent="0.3">
      <c r="B63" s="51"/>
      <c r="D63" s="52"/>
      <c r="E63" s="52"/>
      <c r="F63" s="52"/>
      <c r="G63" s="56"/>
    </row>
    <row r="64" spans="2:7" x14ac:dyDescent="0.3">
      <c r="B64" s="20" t="s">
        <v>41</v>
      </c>
      <c r="D64" s="54"/>
      <c r="E64" s="54"/>
      <c r="F64" s="54"/>
      <c r="G64" s="55">
        <v>1.6</v>
      </c>
    </row>
    <row r="65" spans="2:7" x14ac:dyDescent="0.3">
      <c r="B65" s="114" t="s">
        <v>16</v>
      </c>
      <c r="C65" s="114" t="s">
        <v>17</v>
      </c>
      <c r="D65" s="115" t="s">
        <v>14</v>
      </c>
      <c r="E65" s="115" t="s">
        <v>18</v>
      </c>
      <c r="F65" s="115" t="s">
        <v>19</v>
      </c>
      <c r="G65" s="115"/>
    </row>
    <row r="66" spans="2:7" x14ac:dyDescent="0.3">
      <c r="B66" s="114"/>
      <c r="C66" s="114"/>
      <c r="D66" s="115"/>
      <c r="E66" s="115"/>
      <c r="F66" s="111" t="s">
        <v>14</v>
      </c>
      <c r="G66" s="113" t="s">
        <v>18</v>
      </c>
    </row>
    <row r="67" spans="2:7" x14ac:dyDescent="0.3">
      <c r="B67" s="84">
        <v>45870</v>
      </c>
      <c r="C67" s="82" t="s">
        <v>41</v>
      </c>
      <c r="D67" s="85">
        <v>150000000</v>
      </c>
      <c r="E67" s="85"/>
      <c r="F67" s="85">
        <f>D67</f>
        <v>150000000</v>
      </c>
      <c r="G67" s="93"/>
    </row>
    <row r="68" spans="2:7" x14ac:dyDescent="0.3">
      <c r="B68" s="51"/>
      <c r="D68" s="52"/>
      <c r="E68" s="52"/>
      <c r="F68" s="52"/>
      <c r="G68" s="56"/>
    </row>
    <row r="69" spans="2:7" x14ac:dyDescent="0.3">
      <c r="B69" s="20" t="s">
        <v>42</v>
      </c>
      <c r="D69" s="54"/>
      <c r="E69" s="54"/>
      <c r="F69" s="54"/>
      <c r="G69" s="57" t="s">
        <v>1</v>
      </c>
    </row>
    <row r="70" spans="2:7" x14ac:dyDescent="0.3">
      <c r="B70" s="114" t="s">
        <v>16</v>
      </c>
      <c r="C70" s="114" t="s">
        <v>17</v>
      </c>
      <c r="D70" s="115" t="s">
        <v>14</v>
      </c>
      <c r="E70" s="115" t="s">
        <v>18</v>
      </c>
      <c r="F70" s="115" t="s">
        <v>19</v>
      </c>
      <c r="G70" s="115"/>
    </row>
    <row r="71" spans="2:7" x14ac:dyDescent="0.3">
      <c r="B71" s="114"/>
      <c r="C71" s="114"/>
      <c r="D71" s="115"/>
      <c r="E71" s="115"/>
      <c r="F71" s="111" t="s">
        <v>14</v>
      </c>
      <c r="G71" s="113" t="s">
        <v>18</v>
      </c>
    </row>
    <row r="72" spans="2:7" x14ac:dyDescent="0.3">
      <c r="B72" s="84">
        <v>46122</v>
      </c>
      <c r="C72" s="82" t="s">
        <v>43</v>
      </c>
      <c r="D72" s="85"/>
      <c r="E72" s="85">
        <v>10937500</v>
      </c>
      <c r="F72" s="85"/>
      <c r="G72" s="85">
        <f>E72</f>
        <v>10937500</v>
      </c>
    </row>
    <row r="73" spans="2:7" x14ac:dyDescent="0.3">
      <c r="B73" s="51"/>
      <c r="D73" s="52"/>
      <c r="E73" s="52"/>
      <c r="F73" s="52"/>
      <c r="G73" s="56"/>
    </row>
    <row r="74" spans="2:7" x14ac:dyDescent="0.3">
      <c r="B74" s="20" t="s">
        <v>44</v>
      </c>
      <c r="D74" s="54"/>
      <c r="E74" s="54"/>
      <c r="F74" s="54"/>
      <c r="G74" s="55">
        <v>1.7</v>
      </c>
    </row>
    <row r="75" spans="2:7" x14ac:dyDescent="0.3">
      <c r="B75" s="114" t="s">
        <v>16</v>
      </c>
      <c r="C75" s="114" t="s">
        <v>17</v>
      </c>
      <c r="D75" s="115" t="s">
        <v>14</v>
      </c>
      <c r="E75" s="115" t="s">
        <v>18</v>
      </c>
      <c r="F75" s="115" t="s">
        <v>19</v>
      </c>
      <c r="G75" s="115"/>
    </row>
    <row r="76" spans="2:7" x14ac:dyDescent="0.3">
      <c r="B76" s="114"/>
      <c r="C76" s="114"/>
      <c r="D76" s="115"/>
      <c r="E76" s="115"/>
      <c r="F76" s="112" t="s">
        <v>14</v>
      </c>
      <c r="G76" s="113" t="s">
        <v>18</v>
      </c>
    </row>
    <row r="77" spans="2:7" x14ac:dyDescent="0.3">
      <c r="B77" s="84">
        <v>45870</v>
      </c>
      <c r="C77" s="118" t="s">
        <v>44</v>
      </c>
      <c r="D77" s="85">
        <v>90000000</v>
      </c>
      <c r="E77" s="85"/>
      <c r="F77" s="85">
        <f>D77</f>
        <v>90000000</v>
      </c>
      <c r="G77" s="93"/>
    </row>
    <row r="78" spans="2:7" x14ac:dyDescent="0.3">
      <c r="B78" s="51"/>
      <c r="D78" s="52"/>
      <c r="E78" s="52"/>
      <c r="F78" s="52"/>
      <c r="G78" s="56"/>
    </row>
    <row r="79" spans="2:7" x14ac:dyDescent="0.3">
      <c r="B79" s="20" t="s">
        <v>45</v>
      </c>
      <c r="D79" s="54"/>
      <c r="E79" s="54"/>
      <c r="F79" s="54"/>
      <c r="G79" s="57" t="s">
        <v>2</v>
      </c>
    </row>
    <row r="80" spans="2:7" x14ac:dyDescent="0.3">
      <c r="B80" s="114" t="s">
        <v>16</v>
      </c>
      <c r="C80" s="114" t="s">
        <v>17</v>
      </c>
      <c r="D80" s="115" t="s">
        <v>14</v>
      </c>
      <c r="E80" s="115" t="s">
        <v>18</v>
      </c>
      <c r="F80" s="115" t="s">
        <v>19</v>
      </c>
      <c r="G80" s="115"/>
    </row>
    <row r="81" spans="2:7" x14ac:dyDescent="0.3">
      <c r="B81" s="114"/>
      <c r="C81" s="114"/>
      <c r="D81" s="115"/>
      <c r="E81" s="115"/>
      <c r="F81" s="112" t="s">
        <v>14</v>
      </c>
      <c r="G81" s="113" t="s">
        <v>18</v>
      </c>
    </row>
    <row r="82" spans="2:7" x14ac:dyDescent="0.3">
      <c r="B82" s="84">
        <v>46183</v>
      </c>
      <c r="C82" s="82" t="s">
        <v>43</v>
      </c>
      <c r="D82" s="85"/>
      <c r="E82" s="85">
        <v>8437500</v>
      </c>
      <c r="F82" s="85"/>
      <c r="G82" s="85">
        <f>E82</f>
        <v>8437500</v>
      </c>
    </row>
    <row r="83" spans="2:7" x14ac:dyDescent="0.3">
      <c r="B83" s="84">
        <v>46213</v>
      </c>
      <c r="C83" s="82" t="s">
        <v>43</v>
      </c>
      <c r="D83" s="85"/>
      <c r="E83" s="85">
        <v>937500</v>
      </c>
      <c r="F83" s="85"/>
      <c r="G83" s="85">
        <f>G82+E83</f>
        <v>9375000</v>
      </c>
    </row>
    <row r="84" spans="2:7" x14ac:dyDescent="0.3">
      <c r="B84" s="51"/>
      <c r="D84" s="52"/>
      <c r="E84" s="52"/>
      <c r="F84" s="52"/>
      <c r="G84" s="52"/>
    </row>
    <row r="85" spans="2:7" x14ac:dyDescent="0.3">
      <c r="B85" s="20" t="s">
        <v>46</v>
      </c>
      <c r="D85" s="54"/>
      <c r="E85" s="54"/>
      <c r="F85" s="54"/>
      <c r="G85" s="55">
        <v>3.1</v>
      </c>
    </row>
    <row r="86" spans="2:7" x14ac:dyDescent="0.3">
      <c r="B86" s="114" t="s">
        <v>16</v>
      </c>
      <c r="C86" s="114" t="s">
        <v>17</v>
      </c>
      <c r="D86" s="115" t="s">
        <v>14</v>
      </c>
      <c r="E86" s="115" t="s">
        <v>18</v>
      </c>
      <c r="F86" s="115" t="s">
        <v>19</v>
      </c>
      <c r="G86" s="115"/>
    </row>
    <row r="87" spans="2:7" x14ac:dyDescent="0.3">
      <c r="B87" s="114"/>
      <c r="C87" s="114"/>
      <c r="D87" s="115"/>
      <c r="E87" s="115"/>
      <c r="F87" s="112" t="s">
        <v>14</v>
      </c>
      <c r="G87" s="113" t="s">
        <v>18</v>
      </c>
    </row>
    <row r="88" spans="2:7" x14ac:dyDescent="0.3">
      <c r="B88" s="84">
        <v>46183</v>
      </c>
      <c r="C88" s="92" t="s">
        <v>34</v>
      </c>
      <c r="D88" s="85"/>
      <c r="E88" s="85">
        <v>1211965000</v>
      </c>
      <c r="F88" s="85"/>
      <c r="G88" s="85">
        <f>E88</f>
        <v>1211965000</v>
      </c>
    </row>
    <row r="89" spans="2:7" x14ac:dyDescent="0.3">
      <c r="B89" s="84">
        <v>46183</v>
      </c>
      <c r="C89" s="82" t="s">
        <v>47</v>
      </c>
      <c r="D89" s="85">
        <v>230000</v>
      </c>
      <c r="E89" s="85"/>
      <c r="F89" s="85"/>
      <c r="G89" s="85">
        <f>G88-D89</f>
        <v>1211735000</v>
      </c>
    </row>
    <row r="90" spans="2:7" x14ac:dyDescent="0.3">
      <c r="D90" s="54"/>
      <c r="E90" s="54"/>
      <c r="F90" s="54"/>
      <c r="G90" s="55"/>
    </row>
    <row r="91" spans="2:7" x14ac:dyDescent="0.3">
      <c r="B91" s="20" t="s">
        <v>48</v>
      </c>
      <c r="D91" s="54"/>
      <c r="E91" s="54"/>
      <c r="F91" s="54"/>
      <c r="G91" s="55">
        <v>3.2</v>
      </c>
    </row>
    <row r="92" spans="2:7" x14ac:dyDescent="0.3">
      <c r="B92" s="114" t="s">
        <v>16</v>
      </c>
      <c r="C92" s="114" t="s">
        <v>17</v>
      </c>
      <c r="D92" s="115" t="s">
        <v>14</v>
      </c>
      <c r="E92" s="115" t="s">
        <v>18</v>
      </c>
      <c r="F92" s="115" t="s">
        <v>19</v>
      </c>
      <c r="G92" s="115"/>
    </row>
    <row r="93" spans="2:7" x14ac:dyDescent="0.3">
      <c r="B93" s="114"/>
      <c r="C93" s="114"/>
      <c r="D93" s="115"/>
      <c r="E93" s="115"/>
      <c r="F93" s="112" t="s">
        <v>14</v>
      </c>
      <c r="G93" s="113" t="s">
        <v>18</v>
      </c>
    </row>
    <row r="94" spans="2:7" x14ac:dyDescent="0.3">
      <c r="B94" s="84">
        <v>46183</v>
      </c>
      <c r="C94" s="94" t="s">
        <v>49</v>
      </c>
      <c r="D94" s="85"/>
      <c r="E94" s="85">
        <v>31969100</v>
      </c>
      <c r="F94" s="85"/>
      <c r="G94" s="85">
        <f>E94</f>
        <v>31969100</v>
      </c>
    </row>
    <row r="95" spans="2:7" x14ac:dyDescent="0.3">
      <c r="B95" s="83"/>
      <c r="C95" s="94"/>
      <c r="D95" s="85"/>
      <c r="E95" s="85"/>
      <c r="F95" s="85"/>
      <c r="G95" s="85"/>
    </row>
    <row r="96" spans="2:7" x14ac:dyDescent="0.3">
      <c r="B96" s="51"/>
      <c r="C96" s="58"/>
      <c r="D96" s="52"/>
      <c r="E96" s="52"/>
      <c r="F96" s="52"/>
      <c r="G96" s="56"/>
    </row>
    <row r="97" spans="2:7" x14ac:dyDescent="0.3">
      <c r="B97" s="20" t="s">
        <v>47</v>
      </c>
      <c r="D97" s="54"/>
      <c r="E97" s="54"/>
      <c r="F97" s="54"/>
      <c r="G97" s="55">
        <v>3.3</v>
      </c>
    </row>
    <row r="98" spans="2:7" x14ac:dyDescent="0.3">
      <c r="B98" s="114" t="s">
        <v>16</v>
      </c>
      <c r="C98" s="114" t="s">
        <v>17</v>
      </c>
      <c r="D98" s="115" t="s">
        <v>14</v>
      </c>
      <c r="E98" s="115" t="s">
        <v>18</v>
      </c>
      <c r="F98" s="115" t="s">
        <v>19</v>
      </c>
      <c r="G98" s="115"/>
    </row>
    <row r="99" spans="2:7" x14ac:dyDescent="0.3">
      <c r="B99" s="114"/>
      <c r="C99" s="114"/>
      <c r="D99" s="115"/>
      <c r="E99" s="115"/>
      <c r="F99" s="112" t="s">
        <v>14</v>
      </c>
      <c r="G99" s="113" t="s">
        <v>18</v>
      </c>
    </row>
    <row r="100" spans="2:7" x14ac:dyDescent="0.3">
      <c r="B100" s="84"/>
      <c r="C100" s="94"/>
      <c r="D100" s="85"/>
      <c r="E100" s="85"/>
      <c r="F100" s="85">
        <f>D100</f>
        <v>0</v>
      </c>
      <c r="G100" s="93"/>
    </row>
    <row r="101" spans="2:7" x14ac:dyDescent="0.3">
      <c r="B101" s="84"/>
      <c r="C101" s="94"/>
      <c r="D101" s="85"/>
      <c r="E101" s="85"/>
      <c r="F101" s="85">
        <f>F100+D101</f>
        <v>0</v>
      </c>
      <c r="G101" s="93"/>
    </row>
    <row r="102" spans="2:7" x14ac:dyDescent="0.3">
      <c r="D102" s="54"/>
      <c r="E102" s="54"/>
      <c r="F102" s="54"/>
      <c r="G102" s="55"/>
    </row>
    <row r="103" spans="2:7" x14ac:dyDescent="0.3">
      <c r="B103" s="20" t="s">
        <v>51</v>
      </c>
      <c r="D103" s="54"/>
      <c r="E103" s="54"/>
      <c r="F103" s="54"/>
      <c r="G103" s="55">
        <v>4.0999999999999996</v>
      </c>
    </row>
    <row r="104" spans="2:7" x14ac:dyDescent="0.3">
      <c r="B104" s="114" t="s">
        <v>16</v>
      </c>
      <c r="C104" s="114" t="s">
        <v>17</v>
      </c>
      <c r="D104" s="115" t="s">
        <v>14</v>
      </c>
      <c r="E104" s="115" t="s">
        <v>18</v>
      </c>
      <c r="F104" s="115" t="s">
        <v>19</v>
      </c>
      <c r="G104" s="115"/>
    </row>
    <row r="105" spans="2:7" x14ac:dyDescent="0.3">
      <c r="B105" s="114"/>
      <c r="C105" s="114"/>
      <c r="D105" s="115"/>
      <c r="E105" s="115"/>
      <c r="F105" s="112" t="s">
        <v>14</v>
      </c>
      <c r="G105" s="113" t="s">
        <v>18</v>
      </c>
    </row>
    <row r="106" spans="2:7" x14ac:dyDescent="0.3">
      <c r="B106" s="84">
        <v>46198</v>
      </c>
      <c r="C106" s="82" t="s">
        <v>24</v>
      </c>
      <c r="D106" s="85"/>
      <c r="E106" s="85">
        <v>84000</v>
      </c>
      <c r="F106" s="90"/>
      <c r="G106" s="85">
        <f>E106</f>
        <v>84000</v>
      </c>
    </row>
    <row r="107" spans="2:7" x14ac:dyDescent="0.3">
      <c r="B107" s="84">
        <v>46202</v>
      </c>
      <c r="C107" s="82" t="s">
        <v>24</v>
      </c>
      <c r="D107" s="85"/>
      <c r="E107" s="85">
        <v>265000</v>
      </c>
      <c r="F107" s="90"/>
      <c r="G107" s="85">
        <f t="shared" ref="G107:G113" si="1">G106-D107+E107</f>
        <v>349000</v>
      </c>
    </row>
    <row r="108" spans="2:7" x14ac:dyDescent="0.3">
      <c r="B108" s="84">
        <v>46202</v>
      </c>
      <c r="C108" s="82" t="s">
        <v>24</v>
      </c>
      <c r="D108" s="85"/>
      <c r="E108" s="85">
        <v>200000</v>
      </c>
      <c r="F108" s="90"/>
      <c r="G108" s="85">
        <f t="shared" si="1"/>
        <v>549000</v>
      </c>
    </row>
    <row r="109" spans="2:7" x14ac:dyDescent="0.3">
      <c r="B109" s="84">
        <v>46206</v>
      </c>
      <c r="C109" s="82" t="s">
        <v>25</v>
      </c>
      <c r="D109" s="85"/>
      <c r="E109" s="85">
        <f>2145000+ 414000</f>
        <v>2559000</v>
      </c>
      <c r="F109" s="90"/>
      <c r="G109" s="85">
        <f t="shared" si="1"/>
        <v>3108000</v>
      </c>
    </row>
    <row r="110" spans="2:7" x14ac:dyDescent="0.3">
      <c r="B110" s="84">
        <v>46211</v>
      </c>
      <c r="C110" s="82" t="s">
        <v>28</v>
      </c>
      <c r="D110" s="85"/>
      <c r="E110" s="85">
        <v>1804000</v>
      </c>
      <c r="F110" s="90"/>
      <c r="G110" s="85">
        <f t="shared" si="1"/>
        <v>4912000</v>
      </c>
    </row>
    <row r="111" spans="2:7" x14ac:dyDescent="0.3">
      <c r="B111" s="84">
        <v>46212</v>
      </c>
      <c r="C111" s="82" t="s">
        <v>27</v>
      </c>
      <c r="D111" s="85"/>
      <c r="E111" s="85">
        <v>650000</v>
      </c>
      <c r="F111" s="90"/>
      <c r="G111" s="85">
        <f t="shared" si="1"/>
        <v>5562000</v>
      </c>
    </row>
    <row r="112" spans="2:7" x14ac:dyDescent="0.3">
      <c r="B112" s="84">
        <v>46213</v>
      </c>
      <c r="C112" s="82" t="s">
        <v>32</v>
      </c>
      <c r="D112" s="85"/>
      <c r="E112" s="85">
        <v>936000</v>
      </c>
      <c r="F112" s="90"/>
      <c r="G112" s="85">
        <f t="shared" si="1"/>
        <v>6498000</v>
      </c>
    </row>
    <row r="113" spans="2:7" x14ac:dyDescent="0.3">
      <c r="B113" s="84">
        <v>46213</v>
      </c>
      <c r="C113" s="82" t="s">
        <v>33</v>
      </c>
      <c r="D113" s="85"/>
      <c r="E113" s="85">
        <v>3015000</v>
      </c>
      <c r="F113" s="90"/>
      <c r="G113" s="85">
        <f t="shared" si="1"/>
        <v>9513000</v>
      </c>
    </row>
    <row r="114" spans="2:7" x14ac:dyDescent="0.3">
      <c r="B114" s="84">
        <v>46213</v>
      </c>
      <c r="C114" s="82" t="s">
        <v>50</v>
      </c>
      <c r="D114" s="85"/>
      <c r="E114" s="85">
        <v>1920000</v>
      </c>
      <c r="F114" s="90"/>
      <c r="G114" s="85">
        <f t="shared" ref="G114" si="2">G113-D114+E114</f>
        <v>11433000</v>
      </c>
    </row>
    <row r="115" spans="2:7" x14ac:dyDescent="0.3">
      <c r="B115" s="51"/>
      <c r="D115" s="54"/>
      <c r="E115" s="53"/>
      <c r="F115" s="52"/>
      <c r="G115" s="52"/>
    </row>
    <row r="116" spans="2:7" x14ac:dyDescent="0.3">
      <c r="B116" s="20" t="s">
        <v>52</v>
      </c>
      <c r="D116" s="54"/>
      <c r="E116" s="54"/>
      <c r="F116" s="54"/>
      <c r="G116" s="55">
        <v>5.0999999999999996</v>
      </c>
    </row>
    <row r="117" spans="2:7" x14ac:dyDescent="0.3">
      <c r="B117" s="114" t="s">
        <v>16</v>
      </c>
      <c r="C117" s="114" t="s">
        <v>17</v>
      </c>
      <c r="D117" s="115" t="s">
        <v>14</v>
      </c>
      <c r="E117" s="115" t="s">
        <v>18</v>
      </c>
      <c r="F117" s="115" t="s">
        <v>19</v>
      </c>
      <c r="G117" s="115"/>
    </row>
    <row r="118" spans="2:7" x14ac:dyDescent="0.3">
      <c r="B118" s="114"/>
      <c r="C118" s="114"/>
      <c r="D118" s="115"/>
      <c r="E118" s="115"/>
      <c r="F118" s="112" t="s">
        <v>14</v>
      </c>
      <c r="G118" s="113" t="s">
        <v>18</v>
      </c>
    </row>
    <row r="119" spans="2:7" x14ac:dyDescent="0.3">
      <c r="B119" s="84">
        <v>46184</v>
      </c>
      <c r="C119" s="92" t="s">
        <v>53</v>
      </c>
      <c r="D119" s="85">
        <v>320000</v>
      </c>
      <c r="E119" s="89"/>
      <c r="F119" s="90">
        <f>D119</f>
        <v>320000</v>
      </c>
      <c r="G119" s="91"/>
    </row>
    <row r="120" spans="2:7" x14ac:dyDescent="0.3">
      <c r="B120" s="84">
        <v>46188</v>
      </c>
      <c r="C120" s="92" t="s">
        <v>53</v>
      </c>
      <c r="D120" s="85">
        <v>320000</v>
      </c>
      <c r="E120" s="89"/>
      <c r="F120" s="90">
        <f>F119+D120-E120</f>
        <v>640000</v>
      </c>
      <c r="G120" s="91"/>
    </row>
    <row r="121" spans="2:7" x14ac:dyDescent="0.3">
      <c r="B121" s="84">
        <v>46191</v>
      </c>
      <c r="C121" s="92" t="s">
        <v>53</v>
      </c>
      <c r="D121" s="85">
        <v>300000</v>
      </c>
      <c r="E121" s="89"/>
      <c r="F121" s="90">
        <f t="shared" ref="F121:F127" si="3">F120+D121-E121</f>
        <v>940000</v>
      </c>
      <c r="G121" s="91"/>
    </row>
    <row r="122" spans="2:7" x14ac:dyDescent="0.3">
      <c r="B122" s="84">
        <v>46195</v>
      </c>
      <c r="C122" s="92" t="s">
        <v>53</v>
      </c>
      <c r="D122" s="85">
        <v>320000</v>
      </c>
      <c r="E122" s="89"/>
      <c r="F122" s="90">
        <f t="shared" si="3"/>
        <v>1260000</v>
      </c>
      <c r="G122" s="91"/>
    </row>
    <row r="123" spans="2:7" x14ac:dyDescent="0.3">
      <c r="B123" s="84">
        <v>46198</v>
      </c>
      <c r="C123" s="92" t="s">
        <v>53</v>
      </c>
      <c r="D123" s="87">
        <v>320000</v>
      </c>
      <c r="E123" s="95"/>
      <c r="F123" s="90">
        <f t="shared" si="3"/>
        <v>1580000</v>
      </c>
      <c r="G123" s="91"/>
    </row>
    <row r="124" spans="2:7" x14ac:dyDescent="0.3">
      <c r="B124" s="84">
        <v>46202</v>
      </c>
      <c r="C124" s="92" t="s">
        <v>53</v>
      </c>
      <c r="D124" s="87">
        <v>320000</v>
      </c>
      <c r="E124" s="95"/>
      <c r="F124" s="90">
        <f t="shared" si="3"/>
        <v>1900000</v>
      </c>
      <c r="G124" s="91"/>
    </row>
    <row r="125" spans="2:7" x14ac:dyDescent="0.3">
      <c r="B125" s="84">
        <v>46205</v>
      </c>
      <c r="C125" s="92" t="s">
        <v>53</v>
      </c>
      <c r="D125" s="87">
        <v>300000</v>
      </c>
      <c r="E125" s="95"/>
      <c r="F125" s="90">
        <f t="shared" si="3"/>
        <v>2200000</v>
      </c>
      <c r="G125" s="91"/>
    </row>
    <row r="126" spans="2:7" x14ac:dyDescent="0.3">
      <c r="B126" s="84">
        <v>46209</v>
      </c>
      <c r="C126" s="92" t="s">
        <v>53</v>
      </c>
      <c r="D126" s="87">
        <v>300000</v>
      </c>
      <c r="E126" s="95"/>
      <c r="F126" s="90">
        <f t="shared" si="3"/>
        <v>2500000</v>
      </c>
      <c r="G126" s="91"/>
    </row>
    <row r="127" spans="2:7" x14ac:dyDescent="0.3">
      <c r="B127" s="84">
        <v>46212</v>
      </c>
      <c r="C127" s="92" t="s">
        <v>53</v>
      </c>
      <c r="D127" s="87">
        <v>300000</v>
      </c>
      <c r="E127" s="95"/>
      <c r="F127" s="90">
        <f t="shared" si="3"/>
        <v>2800000</v>
      </c>
      <c r="G127" s="91"/>
    </row>
    <row r="128" spans="2:7" x14ac:dyDescent="0.3">
      <c r="D128" s="54"/>
      <c r="E128" s="54"/>
      <c r="F128" s="54"/>
      <c r="G128" s="55"/>
    </row>
    <row r="129" spans="2:7" x14ac:dyDescent="0.3">
      <c r="B129" s="20" t="s">
        <v>54</v>
      </c>
      <c r="D129" s="54"/>
      <c r="E129" s="54"/>
      <c r="F129" s="54"/>
      <c r="G129" s="55">
        <v>5.2</v>
      </c>
    </row>
    <row r="130" spans="2:7" x14ac:dyDescent="0.3">
      <c r="B130" s="114" t="s">
        <v>16</v>
      </c>
      <c r="C130" s="114" t="s">
        <v>17</v>
      </c>
      <c r="D130" s="115" t="s">
        <v>14</v>
      </c>
      <c r="E130" s="115" t="s">
        <v>18</v>
      </c>
      <c r="F130" s="115" t="s">
        <v>19</v>
      </c>
      <c r="G130" s="115"/>
    </row>
    <row r="131" spans="2:7" x14ac:dyDescent="0.3">
      <c r="B131" s="114"/>
      <c r="C131" s="114"/>
      <c r="D131" s="115"/>
      <c r="E131" s="115"/>
      <c r="F131" s="112" t="s">
        <v>14</v>
      </c>
      <c r="G131" s="113" t="s">
        <v>18</v>
      </c>
    </row>
    <row r="132" spans="2:7" x14ac:dyDescent="0.3">
      <c r="B132" s="106">
        <v>46188</v>
      </c>
      <c r="C132" s="107" t="s">
        <v>55</v>
      </c>
      <c r="D132" s="108">
        <v>360000</v>
      </c>
      <c r="E132" s="108"/>
      <c r="F132" s="109">
        <f>D132</f>
        <v>360000</v>
      </c>
      <c r="G132" s="110"/>
    </row>
    <row r="133" spans="2:7" x14ac:dyDescent="0.3">
      <c r="B133" s="106">
        <v>46195</v>
      </c>
      <c r="C133" s="107" t="s">
        <v>55</v>
      </c>
      <c r="D133" s="108">
        <v>160000</v>
      </c>
      <c r="E133" s="108"/>
      <c r="F133" s="109">
        <f>F132+D133-E133</f>
        <v>520000</v>
      </c>
      <c r="G133" s="110"/>
    </row>
    <row r="134" spans="2:7" x14ac:dyDescent="0.3">
      <c r="B134" s="106">
        <v>46197</v>
      </c>
      <c r="C134" s="107" t="s">
        <v>55</v>
      </c>
      <c r="D134" s="108">
        <v>200000</v>
      </c>
      <c r="E134" s="108"/>
      <c r="F134" s="109">
        <f t="shared" ref="F134:F135" si="4">F133+D134-E134</f>
        <v>720000</v>
      </c>
      <c r="G134" s="110"/>
    </row>
    <row r="135" spans="2:7" x14ac:dyDescent="0.3">
      <c r="B135" s="106">
        <v>46202</v>
      </c>
      <c r="C135" s="107" t="s">
        <v>55</v>
      </c>
      <c r="D135" s="108">
        <v>160000</v>
      </c>
      <c r="E135" s="108"/>
      <c r="F135" s="109">
        <f t="shared" si="4"/>
        <v>880000</v>
      </c>
      <c r="G135" s="110"/>
    </row>
    <row r="136" spans="2:7" x14ac:dyDescent="0.3">
      <c r="B136" s="106">
        <v>46204</v>
      </c>
      <c r="C136" s="107" t="s">
        <v>55</v>
      </c>
      <c r="D136" s="108">
        <v>50000</v>
      </c>
      <c r="E136" s="108"/>
      <c r="F136" s="109">
        <f>F135+D136-E136</f>
        <v>930000</v>
      </c>
      <c r="G136" s="110"/>
    </row>
    <row r="137" spans="2:7" x14ac:dyDescent="0.3">
      <c r="B137" s="106">
        <v>46205</v>
      </c>
      <c r="C137" s="107" t="s">
        <v>55</v>
      </c>
      <c r="D137" s="108">
        <v>90000</v>
      </c>
      <c r="E137" s="108"/>
      <c r="F137" s="109">
        <f t="shared" ref="F137:F138" si="5">F136+D137-E137</f>
        <v>1020000</v>
      </c>
      <c r="G137" s="110"/>
    </row>
    <row r="138" spans="2:7" x14ac:dyDescent="0.3">
      <c r="B138" s="106">
        <v>46209</v>
      </c>
      <c r="C138" s="107" t="s">
        <v>55</v>
      </c>
      <c r="D138" s="108">
        <v>300000</v>
      </c>
      <c r="E138" s="108"/>
      <c r="F138" s="109">
        <f t="shared" si="5"/>
        <v>1320000</v>
      </c>
      <c r="G138" s="110"/>
    </row>
    <row r="139" spans="2:7" x14ac:dyDescent="0.3">
      <c r="B139" s="77"/>
      <c r="C139" s="78"/>
      <c r="D139" s="79"/>
      <c r="E139" s="79"/>
      <c r="F139" s="59"/>
      <c r="G139" s="80"/>
    </row>
    <row r="140" spans="2:7" x14ac:dyDescent="0.3">
      <c r="B140" s="20" t="s">
        <v>56</v>
      </c>
      <c r="D140" s="54"/>
      <c r="E140" s="54"/>
      <c r="F140" s="54"/>
      <c r="G140" s="55">
        <v>5.3</v>
      </c>
    </row>
    <row r="141" spans="2:7" x14ac:dyDescent="0.3">
      <c r="B141" s="114" t="s">
        <v>16</v>
      </c>
      <c r="C141" s="114" t="s">
        <v>17</v>
      </c>
      <c r="D141" s="115" t="s">
        <v>14</v>
      </c>
      <c r="E141" s="115" t="s">
        <v>18</v>
      </c>
      <c r="F141" s="115" t="s">
        <v>19</v>
      </c>
      <c r="G141" s="115"/>
    </row>
    <row r="142" spans="2:7" x14ac:dyDescent="0.3">
      <c r="B142" s="114"/>
      <c r="C142" s="114"/>
      <c r="D142" s="115"/>
      <c r="E142" s="115"/>
      <c r="F142" s="112" t="s">
        <v>14</v>
      </c>
      <c r="G142" s="113" t="s">
        <v>18</v>
      </c>
    </row>
    <row r="143" spans="2:7" x14ac:dyDescent="0.3">
      <c r="B143" s="84">
        <v>46184</v>
      </c>
      <c r="C143" s="92" t="s">
        <v>57</v>
      </c>
      <c r="D143" s="89">
        <v>100000</v>
      </c>
      <c r="E143" s="89"/>
      <c r="F143" s="90">
        <f>D143</f>
        <v>100000</v>
      </c>
      <c r="G143" s="91"/>
    </row>
    <row r="144" spans="2:7" x14ac:dyDescent="0.3">
      <c r="B144" s="84">
        <v>46185</v>
      </c>
      <c r="C144" s="92" t="s">
        <v>57</v>
      </c>
      <c r="D144" s="89">
        <v>100000</v>
      </c>
      <c r="E144" s="89"/>
      <c r="F144" s="90">
        <f>F143+D144-E144</f>
        <v>200000</v>
      </c>
      <c r="G144" s="91"/>
    </row>
    <row r="145" spans="2:7" x14ac:dyDescent="0.3">
      <c r="B145" s="84">
        <v>46188</v>
      </c>
      <c r="C145" s="92" t="s">
        <v>57</v>
      </c>
      <c r="D145" s="89">
        <v>100000</v>
      </c>
      <c r="E145" s="89"/>
      <c r="F145" s="90">
        <f t="shared" ref="F145:F163" si="6">F144+D145-E145</f>
        <v>300000</v>
      </c>
      <c r="G145" s="91"/>
    </row>
    <row r="146" spans="2:7" x14ac:dyDescent="0.3">
      <c r="B146" s="84">
        <v>46189</v>
      </c>
      <c r="C146" s="92" t="s">
        <v>57</v>
      </c>
      <c r="D146" s="89">
        <v>100000</v>
      </c>
      <c r="E146" s="89"/>
      <c r="F146" s="90">
        <f t="shared" si="6"/>
        <v>400000</v>
      </c>
      <c r="G146" s="91"/>
    </row>
    <row r="147" spans="2:7" x14ac:dyDescent="0.3">
      <c r="B147" s="84">
        <v>46190</v>
      </c>
      <c r="C147" s="92" t="s">
        <v>57</v>
      </c>
      <c r="D147" s="89">
        <v>100000</v>
      </c>
      <c r="E147" s="89"/>
      <c r="F147" s="90">
        <f t="shared" si="6"/>
        <v>500000</v>
      </c>
      <c r="G147" s="91"/>
    </row>
    <row r="148" spans="2:7" x14ac:dyDescent="0.3">
      <c r="B148" s="84">
        <v>46191</v>
      </c>
      <c r="C148" s="92" t="s">
        <v>57</v>
      </c>
      <c r="D148" s="89">
        <v>50000</v>
      </c>
      <c r="E148" s="89"/>
      <c r="F148" s="90">
        <f t="shared" si="6"/>
        <v>550000</v>
      </c>
      <c r="G148" s="91"/>
    </row>
    <row r="149" spans="2:7" x14ac:dyDescent="0.3">
      <c r="B149" s="84">
        <v>46192</v>
      </c>
      <c r="C149" s="92" t="s">
        <v>57</v>
      </c>
      <c r="D149" s="89">
        <v>50000</v>
      </c>
      <c r="E149" s="89"/>
      <c r="F149" s="90">
        <f t="shared" si="6"/>
        <v>600000</v>
      </c>
      <c r="G149" s="91"/>
    </row>
    <row r="150" spans="2:7" x14ac:dyDescent="0.3">
      <c r="B150" s="84">
        <v>46193</v>
      </c>
      <c r="C150" s="92" t="s">
        <v>57</v>
      </c>
      <c r="D150" s="89">
        <v>100000</v>
      </c>
      <c r="E150" s="89"/>
      <c r="F150" s="90">
        <f t="shared" si="6"/>
        <v>700000</v>
      </c>
      <c r="G150" s="91"/>
    </row>
    <row r="151" spans="2:7" x14ac:dyDescent="0.3">
      <c r="B151" s="84">
        <v>46195</v>
      </c>
      <c r="C151" s="92" t="s">
        <v>57</v>
      </c>
      <c r="D151" s="89">
        <v>100000</v>
      </c>
      <c r="E151" s="89"/>
      <c r="F151" s="90">
        <f t="shared" si="6"/>
        <v>800000</v>
      </c>
      <c r="G151" s="91"/>
    </row>
    <row r="152" spans="2:7" x14ac:dyDescent="0.3">
      <c r="B152" s="84">
        <v>46196</v>
      </c>
      <c r="C152" s="92" t="s">
        <v>57</v>
      </c>
      <c r="D152" s="89">
        <v>100000</v>
      </c>
      <c r="E152" s="89"/>
      <c r="F152" s="90">
        <f t="shared" si="6"/>
        <v>900000</v>
      </c>
      <c r="G152" s="91"/>
    </row>
    <row r="153" spans="2:7" x14ac:dyDescent="0.3">
      <c r="B153" s="84">
        <v>46197</v>
      </c>
      <c r="C153" s="92" t="s">
        <v>57</v>
      </c>
      <c r="D153" s="89">
        <v>100000</v>
      </c>
      <c r="E153" s="89"/>
      <c r="F153" s="90">
        <f t="shared" si="6"/>
        <v>1000000</v>
      </c>
      <c r="G153" s="91"/>
    </row>
    <row r="154" spans="2:7" x14ac:dyDescent="0.3">
      <c r="B154" s="84">
        <v>46198</v>
      </c>
      <c r="C154" s="92" t="s">
        <v>57</v>
      </c>
      <c r="D154" s="89">
        <v>100000</v>
      </c>
      <c r="E154" s="89"/>
      <c r="F154" s="90">
        <f t="shared" si="6"/>
        <v>1100000</v>
      </c>
      <c r="G154" s="91"/>
    </row>
    <row r="155" spans="2:7" x14ac:dyDescent="0.3">
      <c r="B155" s="84">
        <v>46200</v>
      </c>
      <c r="C155" s="92" t="s">
        <v>57</v>
      </c>
      <c r="D155" s="89">
        <v>100000</v>
      </c>
      <c r="E155" s="89"/>
      <c r="F155" s="90">
        <f t="shared" si="6"/>
        <v>1200000</v>
      </c>
      <c r="G155" s="91"/>
    </row>
    <row r="156" spans="2:7" x14ac:dyDescent="0.3">
      <c r="B156" s="84">
        <v>46202</v>
      </c>
      <c r="C156" s="92" t="s">
        <v>57</v>
      </c>
      <c r="D156" s="89">
        <v>50000</v>
      </c>
      <c r="E156" s="89"/>
      <c r="F156" s="90">
        <f t="shared" si="6"/>
        <v>1250000</v>
      </c>
      <c r="G156" s="91"/>
    </row>
    <row r="157" spans="2:7" x14ac:dyDescent="0.3">
      <c r="B157" s="84">
        <v>46204</v>
      </c>
      <c r="C157" s="92" t="s">
        <v>57</v>
      </c>
      <c r="D157" s="89">
        <v>100000</v>
      </c>
      <c r="E157" s="89"/>
      <c r="F157" s="90">
        <f t="shared" si="6"/>
        <v>1350000</v>
      </c>
      <c r="G157" s="91"/>
    </row>
    <row r="158" spans="2:7" x14ac:dyDescent="0.3">
      <c r="B158" s="84">
        <v>46205</v>
      </c>
      <c r="C158" s="92" t="s">
        <v>57</v>
      </c>
      <c r="D158" s="89">
        <v>50000</v>
      </c>
      <c r="E158" s="89"/>
      <c r="F158" s="90">
        <f t="shared" si="6"/>
        <v>1400000</v>
      </c>
      <c r="G158" s="91"/>
    </row>
    <row r="159" spans="2:7" x14ac:dyDescent="0.3">
      <c r="B159" s="84">
        <v>46206</v>
      </c>
      <c r="C159" s="92" t="s">
        <v>57</v>
      </c>
      <c r="D159" s="89">
        <v>200000</v>
      </c>
      <c r="E159" s="89"/>
      <c r="F159" s="90">
        <f t="shared" si="6"/>
        <v>1600000</v>
      </c>
      <c r="G159" s="91"/>
    </row>
    <row r="160" spans="2:7" x14ac:dyDescent="0.3">
      <c r="B160" s="84">
        <v>46209</v>
      </c>
      <c r="C160" s="92" t="s">
        <v>57</v>
      </c>
      <c r="D160" s="89">
        <v>50000</v>
      </c>
      <c r="E160" s="89"/>
      <c r="F160" s="90">
        <f t="shared" si="6"/>
        <v>1650000</v>
      </c>
      <c r="G160" s="91"/>
    </row>
    <row r="161" spans="2:7" x14ac:dyDescent="0.3">
      <c r="B161" s="84">
        <v>46211</v>
      </c>
      <c r="C161" s="92" t="s">
        <v>57</v>
      </c>
      <c r="D161" s="89">
        <v>100000</v>
      </c>
      <c r="E161" s="89"/>
      <c r="F161" s="90">
        <f t="shared" si="6"/>
        <v>1750000</v>
      </c>
      <c r="G161" s="91"/>
    </row>
    <row r="162" spans="2:7" x14ac:dyDescent="0.3">
      <c r="B162" s="84">
        <v>46212</v>
      </c>
      <c r="C162" s="92" t="s">
        <v>57</v>
      </c>
      <c r="D162" s="89">
        <v>50000</v>
      </c>
      <c r="E162" s="89"/>
      <c r="F162" s="90">
        <f t="shared" si="6"/>
        <v>1800000</v>
      </c>
      <c r="G162" s="91"/>
    </row>
    <row r="163" spans="2:7" x14ac:dyDescent="0.3">
      <c r="B163" s="84">
        <v>46213</v>
      </c>
      <c r="C163" s="92" t="s">
        <v>57</v>
      </c>
      <c r="D163" s="89">
        <v>200000</v>
      </c>
      <c r="E163" s="89"/>
      <c r="F163" s="90">
        <f t="shared" si="6"/>
        <v>2000000</v>
      </c>
      <c r="G163" s="91"/>
    </row>
    <row r="164" spans="2:7" x14ac:dyDescent="0.3">
      <c r="B164" s="77"/>
      <c r="C164" s="81"/>
      <c r="D164" s="79"/>
      <c r="E164" s="79"/>
      <c r="F164" s="59"/>
      <c r="G164" s="80"/>
    </row>
    <row r="165" spans="2:7" x14ac:dyDescent="0.3">
      <c r="B165" s="20" t="s">
        <v>58</v>
      </c>
      <c r="D165" s="54"/>
      <c r="E165" s="54"/>
      <c r="F165" s="54"/>
      <c r="G165" s="55">
        <v>5.4</v>
      </c>
    </row>
    <row r="166" spans="2:7" x14ac:dyDescent="0.3">
      <c r="B166" s="114" t="s">
        <v>16</v>
      </c>
      <c r="C166" s="114" t="s">
        <v>17</v>
      </c>
      <c r="D166" s="115" t="s">
        <v>14</v>
      </c>
      <c r="E166" s="115" t="s">
        <v>18</v>
      </c>
      <c r="F166" s="115" t="s">
        <v>19</v>
      </c>
      <c r="G166" s="115"/>
    </row>
    <row r="167" spans="2:7" x14ac:dyDescent="0.3">
      <c r="B167" s="114"/>
      <c r="C167" s="114"/>
      <c r="D167" s="115"/>
      <c r="E167" s="115"/>
      <c r="F167" s="112" t="s">
        <v>14</v>
      </c>
      <c r="G167" s="113" t="s">
        <v>18</v>
      </c>
    </row>
    <row r="168" spans="2:7" x14ac:dyDescent="0.3">
      <c r="B168" s="84"/>
      <c r="C168" s="92"/>
      <c r="D168" s="89"/>
      <c r="E168" s="82"/>
      <c r="F168" s="90">
        <f>D168</f>
        <v>0</v>
      </c>
      <c r="G168" s="91"/>
    </row>
    <row r="169" spans="2:7" x14ac:dyDescent="0.3">
      <c r="B169" s="84"/>
      <c r="C169" s="92"/>
      <c r="D169" s="89"/>
      <c r="E169" s="82"/>
      <c r="F169" s="90">
        <f>F168+D169</f>
        <v>0</v>
      </c>
      <c r="G169" s="91"/>
    </row>
    <row r="170" spans="2:7" x14ac:dyDescent="0.3">
      <c r="B170" s="84"/>
      <c r="C170" s="92"/>
      <c r="D170" s="89"/>
      <c r="E170" s="82"/>
      <c r="F170" s="90">
        <f t="shared" ref="F170" si="7">F169+D170</f>
        <v>0</v>
      </c>
      <c r="G170" s="91"/>
    </row>
    <row r="171" spans="2:7" x14ac:dyDescent="0.3">
      <c r="B171" s="77"/>
      <c r="C171" s="81"/>
      <c r="D171" s="52"/>
      <c r="E171" s="79"/>
      <c r="F171" s="59"/>
      <c r="G171" s="80"/>
    </row>
    <row r="172" spans="2:7" x14ac:dyDescent="0.3">
      <c r="B172" s="20" t="s">
        <v>59</v>
      </c>
      <c r="D172" s="54"/>
      <c r="E172" s="54"/>
      <c r="F172" s="54"/>
      <c r="G172" s="55">
        <v>5.5</v>
      </c>
    </row>
    <row r="173" spans="2:7" x14ac:dyDescent="0.3">
      <c r="B173" s="114" t="s">
        <v>16</v>
      </c>
      <c r="C173" s="114" t="s">
        <v>17</v>
      </c>
      <c r="D173" s="115" t="s">
        <v>14</v>
      </c>
      <c r="E173" s="115" t="s">
        <v>18</v>
      </c>
      <c r="F173" s="115" t="s">
        <v>19</v>
      </c>
      <c r="G173" s="115"/>
    </row>
    <row r="174" spans="2:7" x14ac:dyDescent="0.3">
      <c r="B174" s="114"/>
      <c r="C174" s="114"/>
      <c r="D174" s="115"/>
      <c r="E174" s="115"/>
      <c r="F174" s="112" t="s">
        <v>14</v>
      </c>
      <c r="G174" s="113" t="s">
        <v>18</v>
      </c>
    </row>
    <row r="175" spans="2:7" x14ac:dyDescent="0.3">
      <c r="B175" s="84">
        <v>46189</v>
      </c>
      <c r="C175" s="82" t="s">
        <v>21</v>
      </c>
      <c r="D175" s="89">
        <v>186000</v>
      </c>
      <c r="E175" s="89"/>
      <c r="F175" s="90">
        <f>D175</f>
        <v>186000</v>
      </c>
      <c r="G175" s="91"/>
    </row>
    <row r="176" spans="2:7" x14ac:dyDescent="0.3">
      <c r="D176" s="54"/>
      <c r="E176" s="54"/>
      <c r="F176" s="54"/>
      <c r="G176" s="55"/>
    </row>
    <row r="177" spans="2:7" x14ac:dyDescent="0.3">
      <c r="B177" s="20" t="s">
        <v>60</v>
      </c>
      <c r="D177" s="54"/>
      <c r="E177" s="54"/>
      <c r="F177" s="54"/>
      <c r="G177" s="55">
        <v>5.6</v>
      </c>
    </row>
    <row r="178" spans="2:7" x14ac:dyDescent="0.3">
      <c r="B178" s="114" t="s">
        <v>16</v>
      </c>
      <c r="C178" s="114" t="s">
        <v>17</v>
      </c>
      <c r="D178" s="115" t="s">
        <v>14</v>
      </c>
      <c r="E178" s="115" t="s">
        <v>18</v>
      </c>
      <c r="F178" s="115" t="s">
        <v>19</v>
      </c>
      <c r="G178" s="115"/>
    </row>
    <row r="179" spans="2:7" x14ac:dyDescent="0.3">
      <c r="B179" s="114"/>
      <c r="C179" s="114"/>
      <c r="D179" s="115"/>
      <c r="E179" s="115"/>
      <c r="F179" s="112" t="s">
        <v>14</v>
      </c>
      <c r="G179" s="113" t="s">
        <v>18</v>
      </c>
    </row>
    <row r="180" spans="2:7" x14ac:dyDescent="0.3">
      <c r="B180" s="83">
        <v>46213</v>
      </c>
      <c r="C180" s="92" t="s">
        <v>61</v>
      </c>
      <c r="D180" s="85">
        <v>937500</v>
      </c>
      <c r="E180" s="85"/>
      <c r="F180" s="90">
        <f>D180</f>
        <v>937500</v>
      </c>
      <c r="G180" s="93"/>
    </row>
    <row r="181" spans="2:7" x14ac:dyDescent="0.3">
      <c r="D181" s="54"/>
      <c r="E181" s="54"/>
      <c r="F181" s="54"/>
      <c r="G181" s="55"/>
    </row>
    <row r="182" spans="2:7" x14ac:dyDescent="0.3">
      <c r="B182" s="20" t="s">
        <v>22</v>
      </c>
      <c r="D182" s="54"/>
      <c r="E182" s="54"/>
      <c r="F182" s="54"/>
      <c r="G182" s="55">
        <v>5.7</v>
      </c>
    </row>
    <row r="183" spans="2:7" x14ac:dyDescent="0.3">
      <c r="B183" s="114" t="s">
        <v>16</v>
      </c>
      <c r="C183" s="114" t="s">
        <v>17</v>
      </c>
      <c r="D183" s="115" t="s">
        <v>14</v>
      </c>
      <c r="E183" s="115" t="s">
        <v>18</v>
      </c>
      <c r="F183" s="115" t="s">
        <v>19</v>
      </c>
      <c r="G183" s="115"/>
    </row>
    <row r="184" spans="2:7" x14ac:dyDescent="0.3">
      <c r="B184" s="114"/>
      <c r="C184" s="114"/>
      <c r="D184" s="115"/>
      <c r="E184" s="115"/>
      <c r="F184" s="112" t="s">
        <v>14</v>
      </c>
      <c r="G184" s="113" t="s">
        <v>18</v>
      </c>
    </row>
    <row r="185" spans="2:7" x14ac:dyDescent="0.3">
      <c r="B185" s="84">
        <v>46192</v>
      </c>
      <c r="C185" s="82" t="s">
        <v>22</v>
      </c>
      <c r="D185" s="87">
        <v>650000</v>
      </c>
      <c r="E185" s="87"/>
      <c r="F185" s="90">
        <f>D185</f>
        <v>650000</v>
      </c>
      <c r="G185" s="93"/>
    </row>
    <row r="186" spans="2:7" x14ac:dyDescent="0.3">
      <c r="B186" s="84">
        <v>46213</v>
      </c>
      <c r="C186" s="82" t="s">
        <v>29</v>
      </c>
      <c r="D186" s="87">
        <v>700000</v>
      </c>
      <c r="E186" s="87"/>
      <c r="F186" s="90">
        <f t="shared" ref="F186:F188" si="8">F185+D186-E186</f>
        <v>1350000</v>
      </c>
      <c r="G186" s="93"/>
    </row>
    <row r="187" spans="2:7" x14ac:dyDescent="0.3">
      <c r="B187" s="84">
        <v>46213</v>
      </c>
      <c r="C187" s="82" t="s">
        <v>30</v>
      </c>
      <c r="D187" s="87">
        <v>700000</v>
      </c>
      <c r="E187" s="87"/>
      <c r="F187" s="90">
        <f t="shared" si="8"/>
        <v>2050000</v>
      </c>
      <c r="G187" s="93"/>
    </row>
    <row r="188" spans="2:7" x14ac:dyDescent="0.3">
      <c r="B188" s="84">
        <v>46213</v>
      </c>
      <c r="C188" s="82" t="s">
        <v>31</v>
      </c>
      <c r="D188" s="87">
        <v>700000</v>
      </c>
      <c r="E188" s="87"/>
      <c r="F188" s="90">
        <f t="shared" si="8"/>
        <v>2750000</v>
      </c>
      <c r="G188" s="93"/>
    </row>
    <row r="189" spans="2:7" x14ac:dyDescent="0.3">
      <c r="B189" s="51"/>
      <c r="D189" s="53"/>
      <c r="E189" s="53"/>
      <c r="F189" s="59"/>
      <c r="G189" s="56"/>
    </row>
    <row r="190" spans="2:7" x14ac:dyDescent="0.3">
      <c r="B190" s="20" t="s">
        <v>62</v>
      </c>
      <c r="D190" s="54"/>
      <c r="E190" s="54"/>
      <c r="F190" s="54"/>
      <c r="G190" s="55">
        <v>5.8</v>
      </c>
    </row>
    <row r="191" spans="2:7" x14ac:dyDescent="0.3">
      <c r="B191" s="114" t="s">
        <v>16</v>
      </c>
      <c r="C191" s="114" t="s">
        <v>17</v>
      </c>
      <c r="D191" s="115" t="s">
        <v>14</v>
      </c>
      <c r="E191" s="115" t="s">
        <v>18</v>
      </c>
      <c r="F191" s="115" t="s">
        <v>19</v>
      </c>
      <c r="G191" s="115"/>
    </row>
    <row r="192" spans="2:7" x14ac:dyDescent="0.3">
      <c r="B192" s="114"/>
      <c r="C192" s="114"/>
      <c r="D192" s="115"/>
      <c r="E192" s="115"/>
      <c r="F192" s="112" t="s">
        <v>14</v>
      </c>
      <c r="G192" s="113" t="s">
        <v>18</v>
      </c>
    </row>
    <row r="193" spans="2:7" x14ac:dyDescent="0.3">
      <c r="B193" s="83">
        <v>46197</v>
      </c>
      <c r="C193" s="82" t="s">
        <v>23</v>
      </c>
      <c r="D193" s="85">
        <v>4000</v>
      </c>
      <c r="E193" s="85"/>
      <c r="F193" s="90">
        <f>D193</f>
        <v>4000</v>
      </c>
      <c r="G193" s="91"/>
    </row>
    <row r="194" spans="2:7" x14ac:dyDescent="0.3">
      <c r="B194" s="83">
        <v>46209</v>
      </c>
      <c r="C194" s="82" t="s">
        <v>26</v>
      </c>
      <c r="D194" s="85">
        <v>35000</v>
      </c>
      <c r="E194" s="85"/>
      <c r="F194" s="90">
        <f>F193+D194</f>
        <v>39000</v>
      </c>
      <c r="G194" s="91"/>
    </row>
    <row r="195" spans="2:7" x14ac:dyDescent="0.3">
      <c r="B195" s="83">
        <v>46211</v>
      </c>
      <c r="C195" s="82" t="s">
        <v>26</v>
      </c>
      <c r="D195" s="85">
        <v>15000</v>
      </c>
      <c r="E195" s="85"/>
      <c r="F195" s="90">
        <f t="shared" ref="F195" si="9">F194+D195</f>
        <v>54000</v>
      </c>
      <c r="G195" s="91"/>
    </row>
    <row r="196" spans="2:7" x14ac:dyDescent="0.3">
      <c r="B196" s="51"/>
      <c r="D196" s="52"/>
      <c r="E196" s="52"/>
      <c r="F196" s="59"/>
      <c r="G196" s="80"/>
    </row>
    <row r="197" spans="2:7" x14ac:dyDescent="0.3">
      <c r="B197" s="20" t="s">
        <v>63</v>
      </c>
      <c r="D197" s="54"/>
      <c r="E197" s="54"/>
      <c r="F197" s="54"/>
      <c r="G197" s="55">
        <v>5.9</v>
      </c>
    </row>
    <row r="198" spans="2:7" x14ac:dyDescent="0.3">
      <c r="B198" s="114" t="s">
        <v>16</v>
      </c>
      <c r="C198" s="114" t="s">
        <v>17</v>
      </c>
      <c r="D198" s="115" t="s">
        <v>14</v>
      </c>
      <c r="E198" s="115" t="s">
        <v>18</v>
      </c>
      <c r="F198" s="115" t="s">
        <v>19</v>
      </c>
      <c r="G198" s="115"/>
    </row>
    <row r="199" spans="2:7" x14ac:dyDescent="0.3">
      <c r="B199" s="114"/>
      <c r="C199" s="114"/>
      <c r="D199" s="115"/>
      <c r="E199" s="115"/>
      <c r="F199" s="112" t="s">
        <v>14</v>
      </c>
      <c r="G199" s="113" t="s">
        <v>18</v>
      </c>
    </row>
    <row r="200" spans="2:7" x14ac:dyDescent="0.3">
      <c r="B200" s="84">
        <v>46123</v>
      </c>
      <c r="C200" s="82"/>
      <c r="D200" s="85"/>
      <c r="E200" s="85"/>
      <c r="F200" s="90">
        <f>D200</f>
        <v>0</v>
      </c>
      <c r="G200" s="91"/>
    </row>
  </sheetData>
  <mergeCells count="105">
    <mergeCell ref="F104:G104"/>
    <mergeCell ref="B117:B118"/>
    <mergeCell ref="C117:C118"/>
    <mergeCell ref="D117:D118"/>
    <mergeCell ref="E117:E118"/>
    <mergeCell ref="F117:G117"/>
    <mergeCell ref="F183:G183"/>
    <mergeCell ref="B191:B192"/>
    <mergeCell ref="C191:C192"/>
    <mergeCell ref="D191:D192"/>
    <mergeCell ref="E191:E192"/>
    <mergeCell ref="F191:G191"/>
    <mergeCell ref="B130:B131"/>
    <mergeCell ref="C130:C131"/>
    <mergeCell ref="D130:D131"/>
    <mergeCell ref="E130:E131"/>
    <mergeCell ref="F130:G130"/>
    <mergeCell ref="B166:B167"/>
    <mergeCell ref="C166:C167"/>
    <mergeCell ref="D166:D167"/>
    <mergeCell ref="E166:E167"/>
    <mergeCell ref="F166:G166"/>
    <mergeCell ref="F141:G141"/>
    <mergeCell ref="F75:G75"/>
    <mergeCell ref="B98:B99"/>
    <mergeCell ref="C98:C99"/>
    <mergeCell ref="D98:D99"/>
    <mergeCell ref="E98:E99"/>
    <mergeCell ref="F98:G98"/>
    <mergeCell ref="B92:B93"/>
    <mergeCell ref="C92:C93"/>
    <mergeCell ref="D92:D93"/>
    <mergeCell ref="E92:E93"/>
    <mergeCell ref="F92:G92"/>
    <mergeCell ref="B86:B87"/>
    <mergeCell ref="C86:C87"/>
    <mergeCell ref="D86:D87"/>
    <mergeCell ref="E86:E87"/>
    <mergeCell ref="F86:G86"/>
    <mergeCell ref="B80:B81"/>
    <mergeCell ref="C80:C81"/>
    <mergeCell ref="D80:D81"/>
    <mergeCell ref="E80:E81"/>
    <mergeCell ref="F80:G80"/>
    <mergeCell ref="B3:B4"/>
    <mergeCell ref="C3:C4"/>
    <mergeCell ref="D3:D4"/>
    <mergeCell ref="E3:E4"/>
    <mergeCell ref="F3:G3"/>
    <mergeCell ref="B70:B71"/>
    <mergeCell ref="C70:C71"/>
    <mergeCell ref="D70:D71"/>
    <mergeCell ref="E70:E71"/>
    <mergeCell ref="F70:G70"/>
    <mergeCell ref="F45:G45"/>
    <mergeCell ref="B60:B61"/>
    <mergeCell ref="C60:C61"/>
    <mergeCell ref="D60:D61"/>
    <mergeCell ref="E60:E61"/>
    <mergeCell ref="F60:G60"/>
    <mergeCell ref="B65:B66"/>
    <mergeCell ref="C65:C66"/>
    <mergeCell ref="D65:D66"/>
    <mergeCell ref="E65:E66"/>
    <mergeCell ref="F65:G65"/>
    <mergeCell ref="F55:G55"/>
    <mergeCell ref="B55:B56"/>
    <mergeCell ref="C55:C56"/>
    <mergeCell ref="D55:D56"/>
    <mergeCell ref="E55:E56"/>
    <mergeCell ref="B45:B46"/>
    <mergeCell ref="C45:C46"/>
    <mergeCell ref="D45:D46"/>
    <mergeCell ref="E45:E46"/>
    <mergeCell ref="B141:B142"/>
    <mergeCell ref="C141:C142"/>
    <mergeCell ref="D141:D142"/>
    <mergeCell ref="E141:E142"/>
    <mergeCell ref="B75:B76"/>
    <mergeCell ref="C75:C76"/>
    <mergeCell ref="D75:D76"/>
    <mergeCell ref="E75:E76"/>
    <mergeCell ref="B104:B105"/>
    <mergeCell ref="C104:C105"/>
    <mergeCell ref="D104:D105"/>
    <mergeCell ref="E104:E105"/>
    <mergeCell ref="B198:B199"/>
    <mergeCell ref="C198:C199"/>
    <mergeCell ref="D198:D199"/>
    <mergeCell ref="E198:E199"/>
    <mergeCell ref="F198:G198"/>
    <mergeCell ref="B173:B174"/>
    <mergeCell ref="C173:C174"/>
    <mergeCell ref="D173:D174"/>
    <mergeCell ref="E173:E174"/>
    <mergeCell ref="F173:G173"/>
    <mergeCell ref="B178:B179"/>
    <mergeCell ref="C178:C179"/>
    <mergeCell ref="D178:D179"/>
    <mergeCell ref="E178:E179"/>
    <mergeCell ref="F178:G178"/>
    <mergeCell ref="B183:B184"/>
    <mergeCell ref="C183:C184"/>
    <mergeCell ref="D183:D184"/>
    <mergeCell ref="E183:E184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CC42-A0F6-4766-9C82-CA6FF9AFAFF9}">
  <dimension ref="B2:E26"/>
  <sheetViews>
    <sheetView showGridLines="0" workbookViewId="0">
      <selection activeCell="F8" sqref="F8"/>
    </sheetView>
  </sheetViews>
  <sheetFormatPr defaultRowHeight="14.25" x14ac:dyDescent="0.2"/>
  <cols>
    <col min="2" max="2" width="11.75" customWidth="1"/>
    <col min="3" max="3" width="40.375" bestFit="1" customWidth="1"/>
    <col min="4" max="5" width="15.375" customWidth="1"/>
  </cols>
  <sheetData>
    <row r="2" spans="2:5" ht="18" x14ac:dyDescent="0.2">
      <c r="B2" s="64" t="s">
        <v>65</v>
      </c>
      <c r="C2" s="64" t="s">
        <v>64</v>
      </c>
      <c r="D2" s="64" t="s">
        <v>14</v>
      </c>
      <c r="E2" s="64" t="s">
        <v>18</v>
      </c>
    </row>
    <row r="3" spans="2:5" ht="15.75" x14ac:dyDescent="0.2">
      <c r="B3" s="62">
        <v>1.1000000000000001</v>
      </c>
      <c r="C3" s="26" t="s">
        <v>15</v>
      </c>
      <c r="D3" s="96">
        <f>Ledger!F42</f>
        <v>20106100</v>
      </c>
      <c r="E3" s="96"/>
    </row>
    <row r="4" spans="2:5" ht="15.75" x14ac:dyDescent="0.2">
      <c r="B4" s="62">
        <v>1.2</v>
      </c>
      <c r="C4" s="26" t="s">
        <v>38</v>
      </c>
      <c r="D4" s="96">
        <f>Ledger!F52</f>
        <v>5296000</v>
      </c>
      <c r="E4" s="96"/>
    </row>
    <row r="5" spans="2:5" ht="15.75" x14ac:dyDescent="0.2">
      <c r="B5" s="62">
        <v>1.3</v>
      </c>
      <c r="C5" s="26" t="s">
        <v>39</v>
      </c>
      <c r="D5" s="96">
        <f>Ledger!F57</f>
        <v>0</v>
      </c>
      <c r="E5" s="96"/>
    </row>
    <row r="6" spans="2:5" ht="15.75" x14ac:dyDescent="0.2">
      <c r="B6" s="62">
        <v>1.5</v>
      </c>
      <c r="C6" s="26" t="s">
        <v>40</v>
      </c>
      <c r="D6" s="96">
        <f>Ledger!F62</f>
        <v>1000000000</v>
      </c>
      <c r="E6" s="96"/>
    </row>
    <row r="7" spans="2:5" ht="15.75" x14ac:dyDescent="0.2">
      <c r="B7" s="62">
        <v>1.6</v>
      </c>
      <c r="C7" s="26" t="s">
        <v>41</v>
      </c>
      <c r="D7" s="96">
        <f>Ledger!F67</f>
        <v>150000000</v>
      </c>
      <c r="E7" s="96"/>
    </row>
    <row r="8" spans="2:5" ht="15.75" x14ac:dyDescent="0.2">
      <c r="B8" s="62" t="s">
        <v>1</v>
      </c>
      <c r="C8" s="26" t="s">
        <v>42</v>
      </c>
      <c r="D8" s="96"/>
      <c r="E8" s="96">
        <f>Ledger!G72</f>
        <v>10937500</v>
      </c>
    </row>
    <row r="9" spans="2:5" ht="15.75" x14ac:dyDescent="0.2">
      <c r="B9" s="62">
        <v>1.7</v>
      </c>
      <c r="C9" s="26" t="s">
        <v>44</v>
      </c>
      <c r="D9" s="96">
        <f>Ledger!F77</f>
        <v>90000000</v>
      </c>
      <c r="E9" s="96"/>
    </row>
    <row r="10" spans="2:5" ht="15.75" x14ac:dyDescent="0.2">
      <c r="B10" s="62" t="s">
        <v>2</v>
      </c>
      <c r="C10" s="26" t="s">
        <v>45</v>
      </c>
      <c r="D10" s="96"/>
      <c r="E10" s="96">
        <f>Ledger!G83</f>
        <v>9375000</v>
      </c>
    </row>
    <row r="11" spans="2:5" ht="15.75" x14ac:dyDescent="0.2">
      <c r="B11" s="62">
        <v>3.1</v>
      </c>
      <c r="C11" s="26" t="s">
        <v>46</v>
      </c>
      <c r="D11" s="96"/>
      <c r="E11" s="96">
        <f>Ledger!G89</f>
        <v>1211735000</v>
      </c>
    </row>
    <row r="12" spans="2:5" ht="15.75" x14ac:dyDescent="0.2">
      <c r="B12" s="62">
        <v>3.2</v>
      </c>
      <c r="C12" s="26" t="s">
        <v>48</v>
      </c>
      <c r="D12" s="96"/>
      <c r="E12" s="96">
        <f>Ledger!G94</f>
        <v>31969100</v>
      </c>
    </row>
    <row r="13" spans="2:5" ht="15.75" x14ac:dyDescent="0.2">
      <c r="B13" s="62">
        <v>3.3</v>
      </c>
      <c r="C13" s="26" t="s">
        <v>47</v>
      </c>
      <c r="D13" s="96">
        <f>Ledger!F101</f>
        <v>0</v>
      </c>
      <c r="E13" s="96"/>
    </row>
    <row r="14" spans="2:5" ht="15.75" x14ac:dyDescent="0.2">
      <c r="B14" s="62">
        <v>4.0999999999999996</v>
      </c>
      <c r="C14" s="26" t="s">
        <v>51</v>
      </c>
      <c r="D14" s="96"/>
      <c r="E14" s="96">
        <f>Ledger!G114</f>
        <v>11433000</v>
      </c>
    </row>
    <row r="15" spans="2:5" ht="15.75" x14ac:dyDescent="0.2">
      <c r="B15" s="62">
        <v>5.0999999999999996</v>
      </c>
      <c r="C15" s="26" t="s">
        <v>52</v>
      </c>
      <c r="D15" s="96">
        <f>Ledger!F127</f>
        <v>2800000</v>
      </c>
      <c r="E15" s="96"/>
    </row>
    <row r="16" spans="2:5" ht="15.75" x14ac:dyDescent="0.2">
      <c r="B16" s="62">
        <v>5.2</v>
      </c>
      <c r="C16" s="26" t="s">
        <v>54</v>
      </c>
      <c r="D16" s="96">
        <f>Ledger!F138</f>
        <v>1320000</v>
      </c>
      <c r="E16" s="96"/>
    </row>
    <row r="17" spans="2:5" ht="15.75" x14ac:dyDescent="0.2">
      <c r="B17" s="62">
        <v>5.3</v>
      </c>
      <c r="C17" s="26" t="s">
        <v>56</v>
      </c>
      <c r="D17" s="96">
        <f>Ledger!F163</f>
        <v>2000000</v>
      </c>
      <c r="E17" s="96"/>
    </row>
    <row r="18" spans="2:5" ht="15.75" x14ac:dyDescent="0.2">
      <c r="B18" s="62">
        <v>5.4</v>
      </c>
      <c r="C18" s="26" t="s">
        <v>58</v>
      </c>
      <c r="D18" s="96">
        <f>Ledger!F170</f>
        <v>0</v>
      </c>
      <c r="E18" s="96"/>
    </row>
    <row r="19" spans="2:5" ht="15.75" x14ac:dyDescent="0.2">
      <c r="B19" s="62">
        <v>5.5</v>
      </c>
      <c r="C19" s="26" t="s">
        <v>59</v>
      </c>
      <c r="D19" s="96">
        <f>Ledger!F175</f>
        <v>186000</v>
      </c>
      <c r="E19" s="96"/>
    </row>
    <row r="20" spans="2:5" ht="15.75" x14ac:dyDescent="0.2">
      <c r="B20" s="62">
        <v>5.6</v>
      </c>
      <c r="C20" s="26" t="s">
        <v>60</v>
      </c>
      <c r="D20" s="96">
        <f>Ledger!F180</f>
        <v>937500</v>
      </c>
      <c r="E20" s="96"/>
    </row>
    <row r="21" spans="2:5" ht="15.75" x14ac:dyDescent="0.2">
      <c r="B21" s="62">
        <v>5.7</v>
      </c>
      <c r="C21" s="26" t="s">
        <v>22</v>
      </c>
      <c r="D21" s="96">
        <f>Ledger!F188</f>
        <v>2750000</v>
      </c>
      <c r="E21" s="96"/>
    </row>
    <row r="22" spans="2:5" ht="15.75" x14ac:dyDescent="0.2">
      <c r="B22" s="62">
        <v>5.8</v>
      </c>
      <c r="C22" s="26" t="s">
        <v>62</v>
      </c>
      <c r="D22" s="96">
        <f>Ledger!F195</f>
        <v>54000</v>
      </c>
      <c r="E22" s="96"/>
    </row>
    <row r="23" spans="2:5" ht="15.75" x14ac:dyDescent="0.2">
      <c r="B23" s="62">
        <v>5.9</v>
      </c>
      <c r="C23" s="26" t="s">
        <v>63</v>
      </c>
      <c r="D23" s="96">
        <f>Ledger!F200</f>
        <v>0</v>
      </c>
      <c r="E23" s="96"/>
    </row>
    <row r="24" spans="2:5" ht="16.5" thickBot="1" x14ac:dyDescent="0.25">
      <c r="B24" s="60" t="s">
        <v>0</v>
      </c>
      <c r="C24" s="60"/>
      <c r="D24" s="61">
        <f>SUM(D3:D23)</f>
        <v>1275449600</v>
      </c>
      <c r="E24" s="61">
        <f>SUM(E3:E23)</f>
        <v>1275449600</v>
      </c>
    </row>
    <row r="25" spans="2:5" ht="15" thickTop="1" x14ac:dyDescent="0.2"/>
    <row r="26" spans="2:5" x14ac:dyDescent="0.2">
      <c r="D26" s="72">
        <f>D24-E24</f>
        <v>0</v>
      </c>
    </row>
  </sheetData>
  <pageMargins left="0.7" right="0.7" top="0.75" bottom="0.75" header="0.3" footer="0.3"/>
  <ignoredErrors>
    <ignoredError sqref="D3:E2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"/>
  <sheetViews>
    <sheetView showGridLines="0" workbookViewId="0">
      <selection activeCell="H11" sqref="H11"/>
    </sheetView>
  </sheetViews>
  <sheetFormatPr defaultRowHeight="12.75" x14ac:dyDescent="0.2"/>
  <cols>
    <col min="1" max="1" width="2.375" style="1" customWidth="1"/>
    <col min="2" max="2" width="5.375" style="1" customWidth="1"/>
    <col min="3" max="3" width="37.5" style="1" customWidth="1"/>
    <col min="4" max="5" width="15.5" style="1" customWidth="1"/>
    <col min="6" max="6" width="2.375" style="1" customWidth="1"/>
    <col min="7" max="7" width="8.625" style="1" customWidth="1"/>
    <col min="8" max="8" width="28.5" style="1" customWidth="1"/>
    <col min="9" max="16384" width="9" style="1"/>
  </cols>
  <sheetData>
    <row r="1" spans="1:8" s="2" customFormat="1" ht="20.25" x14ac:dyDescent="0.2">
      <c r="A1" s="97"/>
      <c r="B1" s="19" t="s">
        <v>66</v>
      </c>
      <c r="C1" s="14"/>
      <c r="D1" s="8"/>
      <c r="E1" s="18" t="s">
        <v>101</v>
      </c>
      <c r="F1" s="97"/>
      <c r="G1" s="97"/>
      <c r="H1" s="97"/>
    </row>
    <row r="2" spans="1:8" s="2" customFormat="1" x14ac:dyDescent="0.2">
      <c r="A2" s="98"/>
      <c r="B2" s="97"/>
      <c r="C2" s="10"/>
      <c r="D2" s="10"/>
      <c r="E2" s="17" t="s">
        <v>67</v>
      </c>
      <c r="F2" s="97"/>
      <c r="G2" s="97"/>
      <c r="H2" s="3"/>
    </row>
    <row r="3" spans="1:8" s="2" customFormat="1" x14ac:dyDescent="0.2">
      <c r="A3" s="97"/>
      <c r="B3" s="9"/>
      <c r="C3" s="9"/>
      <c r="D3" s="9"/>
      <c r="E3" s="9"/>
      <c r="F3" s="97"/>
      <c r="G3" s="97"/>
      <c r="H3" s="4"/>
    </row>
    <row r="4" spans="1:8" s="2" customFormat="1" ht="18" x14ac:dyDescent="0.2">
      <c r="A4" s="97"/>
      <c r="B4" s="65" t="s">
        <v>51</v>
      </c>
      <c r="C4" s="65"/>
      <c r="D4" s="66" t="s">
        <v>68</v>
      </c>
      <c r="E4" s="66" t="s">
        <v>69</v>
      </c>
      <c r="F4" s="5"/>
      <c r="G4" s="5"/>
      <c r="H4" s="6"/>
    </row>
    <row r="5" spans="1:8" s="2" customFormat="1" x14ac:dyDescent="0.2">
      <c r="A5" s="97"/>
      <c r="B5" s="9"/>
      <c r="C5" s="10" t="s">
        <v>51</v>
      </c>
      <c r="D5" s="99">
        <f>'Trial Balance'!E14</f>
        <v>11433000</v>
      </c>
      <c r="E5" s="99">
        <v>11350000</v>
      </c>
      <c r="F5" s="97"/>
      <c r="G5" s="97"/>
      <c r="H5" s="15"/>
    </row>
    <row r="6" spans="1:8" s="2" customFormat="1" ht="15.75" x14ac:dyDescent="0.2">
      <c r="A6" s="97"/>
      <c r="B6" s="13" t="s">
        <v>70</v>
      </c>
      <c r="C6" s="13"/>
      <c r="D6" s="100">
        <f>D5</f>
        <v>11433000</v>
      </c>
      <c r="E6" s="100">
        <f>E5</f>
        <v>11350000</v>
      </c>
      <c r="F6" s="97"/>
      <c r="G6" s="97"/>
      <c r="H6" s="97"/>
    </row>
    <row r="7" spans="1:8" s="2" customFormat="1" x14ac:dyDescent="0.2">
      <c r="A7" s="97"/>
      <c r="B7" s="9"/>
      <c r="C7" s="9"/>
      <c r="D7" s="9"/>
      <c r="E7" s="11" t="s">
        <v>3</v>
      </c>
      <c r="F7" s="97"/>
      <c r="G7" s="97"/>
      <c r="H7" s="97"/>
    </row>
    <row r="8" spans="1:8" s="2" customFormat="1" ht="18" x14ac:dyDescent="0.2">
      <c r="A8" s="7" t="s">
        <v>3</v>
      </c>
      <c r="B8" s="65" t="s">
        <v>20</v>
      </c>
      <c r="C8" s="65"/>
      <c r="D8" s="67"/>
      <c r="E8" s="67"/>
      <c r="F8" s="5"/>
      <c r="G8" s="5"/>
      <c r="H8" s="5"/>
    </row>
    <row r="9" spans="1:8" s="2" customFormat="1" ht="12.75" customHeight="1" x14ac:dyDescent="0.2">
      <c r="A9" s="7"/>
      <c r="B9" s="70"/>
      <c r="C9" s="10" t="s">
        <v>52</v>
      </c>
      <c r="D9" s="99">
        <f>'Trial Balance'!D15</f>
        <v>2800000</v>
      </c>
      <c r="E9" s="99">
        <v>2920000</v>
      </c>
      <c r="F9" s="5"/>
      <c r="G9" s="5"/>
      <c r="H9" s="5"/>
    </row>
    <row r="10" spans="1:8" s="2" customFormat="1" x14ac:dyDescent="0.2">
      <c r="A10" s="97"/>
      <c r="B10" s="9"/>
      <c r="C10" s="10" t="s">
        <v>54</v>
      </c>
      <c r="D10" s="99">
        <f>'Trial Balance'!D16</f>
        <v>1320000</v>
      </c>
      <c r="E10" s="101">
        <v>1800000</v>
      </c>
      <c r="F10" s="97"/>
      <c r="G10" s="97"/>
      <c r="H10" s="97"/>
    </row>
    <row r="11" spans="1:8" s="2" customFormat="1" x14ac:dyDescent="0.2">
      <c r="A11" s="97"/>
      <c r="B11" s="9"/>
      <c r="C11" s="10" t="s">
        <v>56</v>
      </c>
      <c r="D11" s="99">
        <f>'Trial Balance'!D17</f>
        <v>2000000</v>
      </c>
      <c r="E11" s="101">
        <v>2750000</v>
      </c>
      <c r="F11" s="97"/>
      <c r="G11" s="97"/>
      <c r="H11" s="97"/>
    </row>
    <row r="12" spans="1:8" s="2" customFormat="1" x14ac:dyDescent="0.2">
      <c r="A12" s="97"/>
      <c r="B12" s="9"/>
      <c r="C12" s="10" t="s">
        <v>58</v>
      </c>
      <c r="D12" s="99">
        <f>'Trial Balance'!D18</f>
        <v>0</v>
      </c>
      <c r="E12" s="99">
        <v>1680000</v>
      </c>
      <c r="F12" s="97"/>
      <c r="G12" s="102"/>
      <c r="H12" s="97"/>
    </row>
    <row r="13" spans="1:8" s="2" customFormat="1" x14ac:dyDescent="0.2">
      <c r="A13" s="97"/>
      <c r="B13" s="9"/>
      <c r="C13" s="10" t="s">
        <v>59</v>
      </c>
      <c r="D13" s="99">
        <f>'Trial Balance'!D19</f>
        <v>186000</v>
      </c>
      <c r="E13" s="99">
        <v>1043000</v>
      </c>
      <c r="F13" s="97"/>
      <c r="G13" s="97"/>
      <c r="H13" s="97"/>
    </row>
    <row r="14" spans="1:8" s="2" customFormat="1" x14ac:dyDescent="0.2">
      <c r="A14" s="97"/>
      <c r="B14" s="9"/>
      <c r="C14" s="10" t="s">
        <v>60</v>
      </c>
      <c r="D14" s="99">
        <f>'Trial Balance'!D20</f>
        <v>937500</v>
      </c>
      <c r="E14" s="99">
        <v>937500</v>
      </c>
      <c r="F14" s="97"/>
      <c r="G14" s="97"/>
      <c r="H14" s="97"/>
    </row>
    <row r="15" spans="1:8" s="2" customFormat="1" x14ac:dyDescent="0.2">
      <c r="A15" s="97"/>
      <c r="B15" s="9"/>
      <c r="C15" s="10" t="s">
        <v>22</v>
      </c>
      <c r="D15" s="99">
        <f>'Trial Balance'!D21</f>
        <v>2750000</v>
      </c>
      <c r="E15" s="99">
        <v>4550000</v>
      </c>
      <c r="F15" s="97"/>
      <c r="G15" s="97"/>
      <c r="H15" s="97"/>
    </row>
    <row r="16" spans="1:8" s="2" customFormat="1" x14ac:dyDescent="0.2">
      <c r="A16" s="97"/>
      <c r="B16" s="9"/>
      <c r="C16" s="10" t="s">
        <v>71</v>
      </c>
      <c r="D16" s="99">
        <f>'Trial Balance'!D22</f>
        <v>54000</v>
      </c>
      <c r="E16" s="99">
        <v>398000</v>
      </c>
      <c r="F16" s="97"/>
      <c r="G16" s="97"/>
      <c r="H16" s="97"/>
    </row>
    <row r="17" spans="2:5" s="2" customFormat="1" x14ac:dyDescent="0.2">
      <c r="B17" s="9"/>
      <c r="C17" s="10" t="s">
        <v>63</v>
      </c>
      <c r="D17" s="99">
        <f>'Trial Balance'!D23</f>
        <v>0</v>
      </c>
      <c r="E17" s="99">
        <v>0</v>
      </c>
    </row>
    <row r="18" spans="2:5" s="2" customFormat="1" ht="15.75" x14ac:dyDescent="0.2">
      <c r="B18" s="13" t="s">
        <v>72</v>
      </c>
      <c r="C18" s="13"/>
      <c r="D18" s="100">
        <f>SUM(D9:D17)</f>
        <v>10047500</v>
      </c>
      <c r="E18" s="100">
        <f>SUM(E9:E17)</f>
        <v>16078500</v>
      </c>
    </row>
    <row r="19" spans="2:5" s="2" customFormat="1" x14ac:dyDescent="0.2">
      <c r="B19" s="9"/>
      <c r="C19" s="9"/>
      <c r="D19" s="9"/>
      <c r="E19" s="9"/>
    </row>
    <row r="20" spans="2:5" s="2" customFormat="1" ht="16.5" thickBot="1" x14ac:dyDescent="0.25">
      <c r="B20" s="16" t="s">
        <v>4</v>
      </c>
      <c r="C20" s="16"/>
      <c r="D20" s="12">
        <f>D6-D18</f>
        <v>1385500</v>
      </c>
      <c r="E20" s="12">
        <f>E6-E18</f>
        <v>-4728500</v>
      </c>
    </row>
    <row r="21" spans="2:5" s="2" customFormat="1" ht="13.5" thickTop="1" x14ac:dyDescent="0.2">
      <c r="B21" s="97"/>
      <c r="C21" s="97"/>
      <c r="D21" s="97"/>
      <c r="E21" s="97"/>
    </row>
    <row r="22" spans="2:5" s="2" customFormat="1" x14ac:dyDescent="0.2">
      <c r="B22" s="97"/>
      <c r="C22" s="97"/>
      <c r="D22" s="97"/>
      <c r="E22" s="97"/>
    </row>
  </sheetData>
  <phoneticPr fontId="0" type="noConversion"/>
  <printOptions horizontalCentered="1"/>
  <pageMargins left="0.5" right="0.5" top="0.5" bottom="0.5" header="0.5" footer="0.25"/>
  <pageSetup fitToHeight="0" orientation="portrait" r:id="rId1"/>
  <headerFooter alignWithMargins="0"/>
  <ignoredErrors>
    <ignoredError sqref="E7:E8 D10:D16 D6 D7:D8 D5 D9 D17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A40F-593D-4B8A-BEB1-2EE793F9A0FD}">
  <dimension ref="B1:E10"/>
  <sheetViews>
    <sheetView showGridLines="0" workbookViewId="0">
      <selection activeCell="F33" sqref="F33"/>
    </sheetView>
  </sheetViews>
  <sheetFormatPr defaultRowHeight="14.25" x14ac:dyDescent="0.2"/>
  <cols>
    <col min="1" max="1" width="2.375" customWidth="1"/>
    <col min="2" max="2" width="5.375" customWidth="1"/>
    <col min="3" max="3" width="37.5" customWidth="1"/>
    <col min="4" max="5" width="15.5" customWidth="1"/>
  </cols>
  <sheetData>
    <row r="1" spans="2:5" ht="20.25" x14ac:dyDescent="0.2">
      <c r="B1" s="19" t="s">
        <v>66</v>
      </c>
      <c r="C1" s="14"/>
      <c r="D1" s="8"/>
      <c r="E1" s="18" t="s">
        <v>73</v>
      </c>
    </row>
    <row r="2" spans="2:5" x14ac:dyDescent="0.2">
      <c r="B2" s="97"/>
      <c r="C2" s="10"/>
      <c r="D2" s="10"/>
      <c r="E2" s="17" t="s">
        <v>74</v>
      </c>
    </row>
    <row r="3" spans="2:5" x14ac:dyDescent="0.2">
      <c r="B3" s="9"/>
      <c r="C3" s="9"/>
      <c r="D3" s="9"/>
      <c r="E3" s="9"/>
    </row>
    <row r="4" spans="2:5" ht="18" x14ac:dyDescent="0.2">
      <c r="B4" s="65" t="s">
        <v>17</v>
      </c>
      <c r="C4" s="65"/>
      <c r="D4" s="66" t="s">
        <v>68</v>
      </c>
      <c r="E4" s="66" t="s">
        <v>69</v>
      </c>
    </row>
    <row r="5" spans="2:5" x14ac:dyDescent="0.2">
      <c r="B5" s="9"/>
      <c r="C5" s="10" t="s">
        <v>46</v>
      </c>
      <c r="D5" s="99">
        <f>'Trial Balance'!E11</f>
        <v>1211735000</v>
      </c>
      <c r="E5" s="99">
        <v>1211965000</v>
      </c>
    </row>
    <row r="6" spans="2:5" x14ac:dyDescent="0.2">
      <c r="B6" s="9"/>
      <c r="C6" s="10" t="s">
        <v>75</v>
      </c>
      <c r="D6" s="99">
        <f>'Trial Balance'!E12</f>
        <v>31969100</v>
      </c>
      <c r="E6" s="99">
        <v>36697600</v>
      </c>
    </row>
    <row r="7" spans="2:5" x14ac:dyDescent="0.2">
      <c r="B7" s="9"/>
      <c r="C7" s="10" t="s">
        <v>76</v>
      </c>
      <c r="D7" s="99">
        <f>'Income Statement'!D20</f>
        <v>1385500</v>
      </c>
      <c r="E7" s="99">
        <v>-4728500</v>
      </c>
    </row>
    <row r="8" spans="2:5" x14ac:dyDescent="0.2">
      <c r="B8" s="9"/>
      <c r="C8" s="10" t="s">
        <v>77</v>
      </c>
      <c r="D8" s="99">
        <f>-'Trial Balance'!D13</f>
        <v>0</v>
      </c>
      <c r="E8" s="99">
        <v>-230000</v>
      </c>
    </row>
    <row r="9" spans="2:5" ht="16.5" thickBot="1" x14ac:dyDescent="0.25">
      <c r="B9" s="16" t="s">
        <v>96</v>
      </c>
      <c r="C9" s="16"/>
      <c r="D9" s="12">
        <f>SUM(D5:D8)</f>
        <v>1245089600</v>
      </c>
      <c r="E9" s="12">
        <f>SUM(E5:E8)</f>
        <v>1243704100</v>
      </c>
    </row>
    <row r="10" spans="2:5" ht="15" thickTop="1" x14ac:dyDescent="0.2"/>
  </sheetData>
  <pageMargins left="0.7" right="0.7" top="0.75" bottom="0.75" header="0.3" footer="0.3"/>
  <ignoredErrors>
    <ignoredError sqref="D6:D8 D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31EE-73C9-4374-8CDF-7FAC29D6E791}">
  <dimension ref="A1:G40"/>
  <sheetViews>
    <sheetView showGridLines="0" workbookViewId="0">
      <selection activeCell="I8" sqref="I8"/>
    </sheetView>
  </sheetViews>
  <sheetFormatPr defaultRowHeight="16.5" x14ac:dyDescent="0.3"/>
  <cols>
    <col min="1" max="1" width="2.375" style="20" customWidth="1"/>
    <col min="2" max="2" width="8.125" style="20" customWidth="1"/>
    <col min="3" max="3" width="42.625" style="20" customWidth="1"/>
    <col min="4" max="5" width="15.5" style="20" customWidth="1"/>
    <col min="6" max="6" width="2.125" style="20" customWidth="1"/>
    <col min="7" max="16384" width="9" style="20"/>
  </cols>
  <sheetData>
    <row r="1" spans="1:7" ht="23.25" x14ac:dyDescent="0.3">
      <c r="A1" s="21"/>
      <c r="B1" s="28" t="s">
        <v>66</v>
      </c>
      <c r="C1" s="29"/>
      <c r="D1" s="21"/>
      <c r="E1" s="30" t="s">
        <v>102</v>
      </c>
      <c r="F1" s="21"/>
      <c r="G1" s="21"/>
    </row>
    <row r="2" spans="1:7" x14ac:dyDescent="0.3">
      <c r="A2" s="31"/>
      <c r="B2" s="23"/>
      <c r="C2" s="32"/>
      <c r="D2" s="33"/>
      <c r="E2" s="45" t="s">
        <v>78</v>
      </c>
      <c r="F2" s="21"/>
      <c r="G2" s="21"/>
    </row>
    <row r="3" spans="1:7" x14ac:dyDescent="0.3">
      <c r="A3" s="21"/>
      <c r="B3" s="21"/>
      <c r="C3" s="21"/>
      <c r="D3" s="34"/>
      <c r="E3" s="34"/>
      <c r="F3" s="21"/>
      <c r="G3" s="21"/>
    </row>
    <row r="4" spans="1:7" ht="18" x14ac:dyDescent="0.3">
      <c r="A4" s="21"/>
      <c r="B4" s="68" t="s">
        <v>79</v>
      </c>
      <c r="C4" s="68"/>
      <c r="D4" s="71" t="s">
        <v>68</v>
      </c>
      <c r="E4" s="71" t="s">
        <v>69</v>
      </c>
      <c r="F4" s="35"/>
      <c r="G4" s="35"/>
    </row>
    <row r="5" spans="1:7" x14ac:dyDescent="0.3">
      <c r="A5" s="21"/>
      <c r="B5" s="36" t="s">
        <v>80</v>
      </c>
      <c r="C5" s="37"/>
      <c r="D5" s="38"/>
      <c r="E5" s="38"/>
      <c r="F5" s="21"/>
      <c r="G5" s="21"/>
    </row>
    <row r="6" spans="1:7" x14ac:dyDescent="0.3">
      <c r="A6" s="21"/>
      <c r="B6" s="21"/>
      <c r="C6" s="46" t="s">
        <v>15</v>
      </c>
      <c r="D6" s="47">
        <f>'Trial Balance'!D3</f>
        <v>20106100</v>
      </c>
      <c r="E6" s="47">
        <v>20117100</v>
      </c>
      <c r="F6" s="21"/>
      <c r="G6" s="21"/>
    </row>
    <row r="7" spans="1:7" x14ac:dyDescent="0.3">
      <c r="A7" s="21"/>
      <c r="B7" s="21"/>
      <c r="C7" s="46" t="s">
        <v>84</v>
      </c>
      <c r="D7" s="47">
        <f>'Trial Balance'!D4</f>
        <v>5296000</v>
      </c>
      <c r="E7" s="47">
        <v>2962000</v>
      </c>
      <c r="F7" s="21"/>
      <c r="G7" s="21"/>
    </row>
    <row r="8" spans="1:7" x14ac:dyDescent="0.3">
      <c r="A8" s="21"/>
      <c r="B8" s="21"/>
      <c r="C8" s="46" t="s">
        <v>85</v>
      </c>
      <c r="D8" s="47">
        <f>'Trial Balance'!D5</f>
        <v>0</v>
      </c>
      <c r="E8" s="47">
        <v>0</v>
      </c>
      <c r="F8" s="21"/>
      <c r="G8" s="21"/>
    </row>
    <row r="9" spans="1:7" x14ac:dyDescent="0.3">
      <c r="A9" s="21"/>
      <c r="B9" s="21"/>
      <c r="C9" s="48" t="s">
        <v>82</v>
      </c>
      <c r="D9" s="73">
        <f>SUM(D6:D8)</f>
        <v>25402100</v>
      </c>
      <c r="E9" s="73">
        <f>SUM(E6:E8)</f>
        <v>23079100</v>
      </c>
      <c r="F9" s="21"/>
      <c r="G9" s="21"/>
    </row>
    <row r="10" spans="1:7" x14ac:dyDescent="0.3">
      <c r="A10" s="21"/>
      <c r="B10" s="36" t="s">
        <v>81</v>
      </c>
      <c r="C10" s="37"/>
      <c r="D10" s="38"/>
      <c r="E10" s="38"/>
      <c r="F10" s="21"/>
      <c r="G10" s="21"/>
    </row>
    <row r="11" spans="1:7" x14ac:dyDescent="0.3">
      <c r="A11" s="21"/>
      <c r="B11" s="21"/>
      <c r="C11" s="46" t="s">
        <v>40</v>
      </c>
      <c r="D11" s="47">
        <f>'Trial Balance'!D6</f>
        <v>1000000000</v>
      </c>
      <c r="E11" s="47">
        <v>1000000000</v>
      </c>
      <c r="F11" s="21"/>
      <c r="G11" s="21"/>
    </row>
    <row r="12" spans="1:7" x14ac:dyDescent="0.3">
      <c r="A12" s="21"/>
      <c r="B12" s="21"/>
      <c r="C12" s="46" t="s">
        <v>86</v>
      </c>
      <c r="D12" s="47">
        <f>'Trial Balance'!D7</f>
        <v>150000000</v>
      </c>
      <c r="E12" s="47">
        <v>150000000</v>
      </c>
      <c r="F12" s="21"/>
      <c r="G12" s="21"/>
    </row>
    <row r="13" spans="1:7" x14ac:dyDescent="0.3">
      <c r="A13" s="21"/>
      <c r="B13" s="21"/>
      <c r="C13" s="46" t="s">
        <v>87</v>
      </c>
      <c r="D13" s="47">
        <f>'Trial Balance'!D9</f>
        <v>90000000</v>
      </c>
      <c r="E13" s="47">
        <v>90000000</v>
      </c>
      <c r="F13" s="21"/>
      <c r="G13" s="21"/>
    </row>
    <row r="14" spans="1:7" x14ac:dyDescent="0.3">
      <c r="A14" s="21"/>
      <c r="B14" s="21"/>
      <c r="C14" s="46" t="s">
        <v>88</v>
      </c>
      <c r="D14" s="47">
        <f>-'Trial Balance'!E8</f>
        <v>-10937500</v>
      </c>
      <c r="E14" s="47">
        <v>-10937500</v>
      </c>
      <c r="F14" s="21"/>
      <c r="G14" s="21"/>
    </row>
    <row r="15" spans="1:7" x14ac:dyDescent="0.3">
      <c r="A15" s="21"/>
      <c r="B15" s="21"/>
      <c r="C15" s="46" t="s">
        <v>89</v>
      </c>
      <c r="D15" s="47">
        <f>-'Trial Balance'!E10</f>
        <v>-9375000</v>
      </c>
      <c r="E15" s="47">
        <v>-8437500</v>
      </c>
      <c r="F15" s="21"/>
      <c r="G15" s="21"/>
    </row>
    <row r="16" spans="1:7" x14ac:dyDescent="0.3">
      <c r="A16" s="21"/>
      <c r="B16" s="21"/>
      <c r="C16" s="48" t="s">
        <v>83</v>
      </c>
      <c r="D16" s="73">
        <f>SUM(D11:D15)</f>
        <v>1219687500</v>
      </c>
      <c r="E16" s="73">
        <f>SUM(E11:E15)</f>
        <v>1220625000</v>
      </c>
      <c r="F16" s="21"/>
      <c r="G16" s="21"/>
    </row>
    <row r="17" spans="1:7" ht="17.25" thickBot="1" x14ac:dyDescent="0.35">
      <c r="A17" s="21"/>
      <c r="B17" s="40" t="s">
        <v>5</v>
      </c>
      <c r="C17" s="40"/>
      <c r="D17" s="63">
        <f>D9+D16</f>
        <v>1245089600</v>
      </c>
      <c r="E17" s="63">
        <f>E9+E16</f>
        <v>1243704100</v>
      </c>
      <c r="F17" s="21"/>
      <c r="G17" s="21"/>
    </row>
    <row r="18" spans="1:7" ht="17.25" thickTop="1" x14ac:dyDescent="0.3">
      <c r="A18" s="21"/>
      <c r="B18" s="21"/>
      <c r="C18" s="21"/>
      <c r="D18" s="21"/>
      <c r="E18" s="21"/>
      <c r="F18" s="21"/>
      <c r="G18" s="21"/>
    </row>
    <row r="19" spans="1:7" ht="18" x14ac:dyDescent="0.3">
      <c r="A19" s="41" t="s">
        <v>3</v>
      </c>
      <c r="B19" s="68" t="s">
        <v>90</v>
      </c>
      <c r="C19" s="68"/>
      <c r="D19" s="68"/>
      <c r="E19" s="68"/>
      <c r="F19" s="35"/>
      <c r="G19" s="35"/>
    </row>
    <row r="20" spans="1:7" x14ac:dyDescent="0.3">
      <c r="A20" s="21"/>
      <c r="B20" s="36" t="s">
        <v>91</v>
      </c>
      <c r="C20" s="37"/>
      <c r="D20" s="38"/>
      <c r="E20" s="38"/>
      <c r="F20" s="21"/>
      <c r="G20" s="21"/>
    </row>
    <row r="21" spans="1:7" x14ac:dyDescent="0.3">
      <c r="A21" s="21"/>
      <c r="B21" s="21"/>
      <c r="C21" s="23"/>
      <c r="D21" s="39"/>
      <c r="E21" s="39"/>
      <c r="F21" s="21"/>
      <c r="G21" s="21"/>
    </row>
    <row r="22" spans="1:7" x14ac:dyDescent="0.3">
      <c r="B22" s="21"/>
      <c r="C22" s="119" t="s">
        <v>92</v>
      </c>
      <c r="D22" s="74"/>
      <c r="E22" s="74">
        <v>0</v>
      </c>
    </row>
    <row r="23" spans="1:7" x14ac:dyDescent="0.3">
      <c r="B23" s="36" t="s">
        <v>93</v>
      </c>
      <c r="C23" s="37"/>
      <c r="D23" s="38"/>
      <c r="E23" s="38"/>
    </row>
    <row r="24" spans="1:7" x14ac:dyDescent="0.3">
      <c r="B24" s="21"/>
      <c r="C24" s="23"/>
      <c r="D24" s="39"/>
      <c r="E24" s="39"/>
    </row>
    <row r="25" spans="1:7" x14ac:dyDescent="0.3">
      <c r="B25" s="21"/>
      <c r="C25" s="48" t="s">
        <v>94</v>
      </c>
      <c r="D25" s="74"/>
      <c r="E25" s="74">
        <v>0</v>
      </c>
    </row>
    <row r="26" spans="1:7" x14ac:dyDescent="0.3">
      <c r="B26" s="36" t="s">
        <v>95</v>
      </c>
      <c r="C26" s="37"/>
      <c r="D26" s="38"/>
      <c r="E26" s="38"/>
    </row>
    <row r="27" spans="1:7" x14ac:dyDescent="0.3">
      <c r="B27" s="21"/>
      <c r="C27" s="46" t="s">
        <v>46</v>
      </c>
      <c r="D27" s="47">
        <f>'Trial Balance'!E11</f>
        <v>1211735000</v>
      </c>
      <c r="E27" s="47">
        <v>1211965000</v>
      </c>
    </row>
    <row r="28" spans="1:7" x14ac:dyDescent="0.3">
      <c r="B28" s="21"/>
      <c r="C28" s="46" t="s">
        <v>75</v>
      </c>
      <c r="D28" s="47">
        <f>'Trial Balance'!E12</f>
        <v>31969100</v>
      </c>
      <c r="E28" s="47">
        <v>36697600</v>
      </c>
    </row>
    <row r="29" spans="1:7" x14ac:dyDescent="0.3">
      <c r="B29" s="21"/>
      <c r="C29" s="46" t="s">
        <v>75</v>
      </c>
      <c r="D29" s="47">
        <f>'Income Statement'!D20</f>
        <v>1385500</v>
      </c>
      <c r="E29" s="47">
        <v>-4728500</v>
      </c>
    </row>
    <row r="30" spans="1:7" x14ac:dyDescent="0.3">
      <c r="B30" s="21"/>
      <c r="C30" s="46" t="s">
        <v>77</v>
      </c>
      <c r="D30" s="47">
        <f>'Statement of Changes in Equity'!D8</f>
        <v>0</v>
      </c>
      <c r="E30" s="47">
        <v>-230000</v>
      </c>
    </row>
    <row r="31" spans="1:7" x14ac:dyDescent="0.3">
      <c r="B31" s="21"/>
      <c r="C31" s="48" t="s">
        <v>96</v>
      </c>
      <c r="D31" s="73">
        <f>SUM(D27:D30)</f>
        <v>1245089600</v>
      </c>
      <c r="E31" s="73">
        <f>SUM(E27:E30)</f>
        <v>1243704100</v>
      </c>
    </row>
    <row r="32" spans="1:7" x14ac:dyDescent="0.3">
      <c r="B32" s="21"/>
      <c r="C32" s="21"/>
      <c r="D32" s="21"/>
      <c r="E32" s="21"/>
    </row>
    <row r="33" spans="2:5" ht="17.25" thickBot="1" x14ac:dyDescent="0.35">
      <c r="B33" s="40" t="s">
        <v>97</v>
      </c>
      <c r="C33" s="40"/>
      <c r="D33" s="63">
        <f>D31+D25+D22</f>
        <v>1245089600</v>
      </c>
      <c r="E33" s="63">
        <f>E31+E25+E22</f>
        <v>1243704100</v>
      </c>
    </row>
    <row r="34" spans="2:5" ht="17.25" thickTop="1" x14ac:dyDescent="0.3">
      <c r="B34" s="21"/>
      <c r="C34" s="21"/>
      <c r="D34" s="21"/>
      <c r="E34" s="41" t="s">
        <v>6</v>
      </c>
    </row>
    <row r="35" spans="2:5" ht="18" x14ac:dyDescent="0.3">
      <c r="B35" s="68" t="s">
        <v>7</v>
      </c>
      <c r="C35" s="68"/>
      <c r="D35" s="68"/>
      <c r="E35" s="68"/>
    </row>
    <row r="36" spans="2:5" x14ac:dyDescent="0.3">
      <c r="B36" s="42" t="s">
        <v>8</v>
      </c>
      <c r="C36" s="42"/>
      <c r="D36" s="43">
        <v>0.55888185493097398</v>
      </c>
      <c r="E36" s="43" t="s">
        <v>9</v>
      </c>
    </row>
    <row r="37" spans="2:5" x14ac:dyDescent="0.3">
      <c r="B37" s="42" t="s">
        <v>10</v>
      </c>
      <c r="C37" s="42"/>
      <c r="D37" s="43">
        <v>1.0597054886211512</v>
      </c>
      <c r="E37" s="43" t="s">
        <v>9</v>
      </c>
    </row>
    <row r="38" spans="2:5" x14ac:dyDescent="0.3">
      <c r="B38" s="42" t="s">
        <v>11</v>
      </c>
      <c r="C38" s="42"/>
      <c r="D38" s="44">
        <v>669</v>
      </c>
      <c r="E38" s="44">
        <v>0</v>
      </c>
    </row>
    <row r="39" spans="2:5" x14ac:dyDescent="0.3">
      <c r="B39" s="42" t="s">
        <v>12</v>
      </c>
      <c r="C39" s="42"/>
      <c r="D39" s="43">
        <v>2.2669663698452496</v>
      </c>
      <c r="E39" s="43" t="s">
        <v>9</v>
      </c>
    </row>
    <row r="40" spans="2:5" x14ac:dyDescent="0.3">
      <c r="B40" s="42" t="s">
        <v>13</v>
      </c>
      <c r="C40" s="42"/>
      <c r="D40" s="43">
        <v>1.2669663698452494</v>
      </c>
      <c r="E40" s="43" t="s">
        <v>9</v>
      </c>
    </row>
  </sheetData>
  <pageMargins left="0.7" right="0.7" top="0.75" bottom="0.75" header="0.3" footer="0.3"/>
  <pageSetup orientation="portrait" r:id="rId1"/>
  <ignoredErrors>
    <ignoredError sqref="D12:D15 D27:D28 D8 D6:D7 D9:D11 D29:D30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7459-1BC6-4247-A0C8-58A32086C3DA}">
  <dimension ref="B1:F46"/>
  <sheetViews>
    <sheetView showGridLines="0" workbookViewId="0">
      <selection activeCell="K27" sqref="K27"/>
    </sheetView>
  </sheetViews>
  <sheetFormatPr defaultRowHeight="16.5" x14ac:dyDescent="0.3"/>
  <cols>
    <col min="1" max="1" width="2.375" style="20" customWidth="1"/>
    <col min="2" max="2" width="9.25" style="20" customWidth="1"/>
    <col min="3" max="3" width="35.875" style="20" customWidth="1"/>
    <col min="4" max="6" width="12.125" style="20" customWidth="1"/>
    <col min="7" max="16384" width="9" style="20"/>
  </cols>
  <sheetData>
    <row r="1" spans="2:6" ht="20.25" x14ac:dyDescent="0.3">
      <c r="B1" s="116" t="s">
        <v>66</v>
      </c>
      <c r="C1" s="116"/>
      <c r="D1" s="116"/>
      <c r="E1" s="116"/>
      <c r="F1" s="116"/>
    </row>
    <row r="2" spans="2:6" ht="20.25" x14ac:dyDescent="0.3">
      <c r="B2" s="117" t="s">
        <v>98</v>
      </c>
      <c r="C2" s="117"/>
      <c r="D2" s="117"/>
      <c r="E2" s="117"/>
      <c r="F2" s="117"/>
    </row>
    <row r="3" spans="2:6" x14ac:dyDescent="0.3">
      <c r="B3" s="21"/>
      <c r="C3" s="21"/>
      <c r="D3" s="21"/>
    </row>
    <row r="4" spans="2:6" x14ac:dyDescent="0.3">
      <c r="B4" s="21"/>
      <c r="C4" s="22"/>
      <c r="F4" s="24" t="s">
        <v>99</v>
      </c>
    </row>
    <row r="5" spans="2:6" x14ac:dyDescent="0.3">
      <c r="B5" s="21"/>
      <c r="C5" s="21"/>
      <c r="D5" s="21"/>
    </row>
    <row r="6" spans="2:6" x14ac:dyDescent="0.3">
      <c r="B6" s="69" t="s">
        <v>16</v>
      </c>
      <c r="C6" s="69" t="s">
        <v>17</v>
      </c>
      <c r="D6" s="69" t="s">
        <v>14</v>
      </c>
      <c r="E6" s="69" t="s">
        <v>18</v>
      </c>
      <c r="F6" s="69" t="s">
        <v>19</v>
      </c>
    </row>
    <row r="7" spans="2:6" x14ac:dyDescent="0.3">
      <c r="B7" s="25">
        <v>46184</v>
      </c>
      <c r="C7" s="26" t="s">
        <v>34</v>
      </c>
      <c r="D7" s="75">
        <v>20117100</v>
      </c>
      <c r="E7" s="75"/>
      <c r="F7" s="75">
        <f>D7</f>
        <v>20117100</v>
      </c>
    </row>
    <row r="8" spans="2:6" x14ac:dyDescent="0.3">
      <c r="B8" s="25">
        <v>46184</v>
      </c>
      <c r="C8" s="26" t="s">
        <v>20</v>
      </c>
      <c r="D8" s="75"/>
      <c r="E8" s="75">
        <v>420000</v>
      </c>
      <c r="F8" s="75">
        <f>F7+D8-E8</f>
        <v>19697100</v>
      </c>
    </row>
    <row r="9" spans="2:6" x14ac:dyDescent="0.3">
      <c r="B9" s="25">
        <v>46185</v>
      </c>
      <c r="C9" s="26" t="s">
        <v>20</v>
      </c>
      <c r="D9" s="75"/>
      <c r="E9" s="75">
        <v>100000</v>
      </c>
      <c r="F9" s="75">
        <f t="shared" ref="F9:F43" si="0">F8+D9-E9</f>
        <v>19597100</v>
      </c>
    </row>
    <row r="10" spans="2:6" x14ac:dyDescent="0.3">
      <c r="B10" s="25">
        <v>46188</v>
      </c>
      <c r="C10" s="26" t="s">
        <v>20</v>
      </c>
      <c r="D10" s="75"/>
      <c r="E10" s="75">
        <v>780000</v>
      </c>
      <c r="F10" s="75">
        <f t="shared" si="0"/>
        <v>18817100</v>
      </c>
    </row>
    <row r="11" spans="2:6" x14ac:dyDescent="0.3">
      <c r="B11" s="25">
        <v>46189</v>
      </c>
      <c r="C11" s="26" t="s">
        <v>20</v>
      </c>
      <c r="D11" s="75"/>
      <c r="E11" s="75">
        <v>100000</v>
      </c>
      <c r="F11" s="75">
        <f t="shared" si="0"/>
        <v>18717100</v>
      </c>
    </row>
    <row r="12" spans="2:6" x14ac:dyDescent="0.3">
      <c r="B12" s="25">
        <v>46189</v>
      </c>
      <c r="C12" s="26" t="s">
        <v>21</v>
      </c>
      <c r="D12" s="75"/>
      <c r="E12" s="75">
        <v>186000</v>
      </c>
      <c r="F12" s="75">
        <f t="shared" si="0"/>
        <v>18531100</v>
      </c>
    </row>
    <row r="13" spans="2:6" x14ac:dyDescent="0.3">
      <c r="B13" s="25">
        <v>46190</v>
      </c>
      <c r="C13" s="26" t="s">
        <v>20</v>
      </c>
      <c r="D13" s="75"/>
      <c r="E13" s="75">
        <v>100000</v>
      </c>
      <c r="F13" s="75">
        <f t="shared" si="0"/>
        <v>18431100</v>
      </c>
    </row>
    <row r="14" spans="2:6" x14ac:dyDescent="0.3">
      <c r="B14" s="25">
        <v>46191</v>
      </c>
      <c r="C14" s="26" t="s">
        <v>20</v>
      </c>
      <c r="D14" s="75"/>
      <c r="E14" s="75">
        <v>350000</v>
      </c>
      <c r="F14" s="75">
        <f t="shared" si="0"/>
        <v>18081100</v>
      </c>
    </row>
    <row r="15" spans="2:6" x14ac:dyDescent="0.3">
      <c r="B15" s="25">
        <v>46192</v>
      </c>
      <c r="C15" s="26" t="s">
        <v>20</v>
      </c>
      <c r="D15" s="75"/>
      <c r="E15" s="75">
        <v>50000</v>
      </c>
      <c r="F15" s="75">
        <f t="shared" si="0"/>
        <v>18031100</v>
      </c>
    </row>
    <row r="16" spans="2:6" x14ac:dyDescent="0.3">
      <c r="B16" s="25">
        <v>46192</v>
      </c>
      <c r="C16" s="26" t="s">
        <v>22</v>
      </c>
      <c r="D16" s="75"/>
      <c r="E16" s="75">
        <v>650000</v>
      </c>
      <c r="F16" s="75">
        <f t="shared" si="0"/>
        <v>17381100</v>
      </c>
    </row>
    <row r="17" spans="2:6" x14ac:dyDescent="0.3">
      <c r="B17" s="25">
        <v>46193</v>
      </c>
      <c r="C17" s="26" t="s">
        <v>20</v>
      </c>
      <c r="D17" s="75"/>
      <c r="E17" s="75">
        <v>100000</v>
      </c>
      <c r="F17" s="75">
        <f t="shared" si="0"/>
        <v>17281100</v>
      </c>
    </row>
    <row r="18" spans="2:6" x14ac:dyDescent="0.3">
      <c r="B18" s="25">
        <v>46195</v>
      </c>
      <c r="C18" s="26" t="s">
        <v>20</v>
      </c>
      <c r="D18" s="75"/>
      <c r="E18" s="75">
        <v>580000</v>
      </c>
      <c r="F18" s="75">
        <f t="shared" si="0"/>
        <v>16701100</v>
      </c>
    </row>
    <row r="19" spans="2:6" x14ac:dyDescent="0.3">
      <c r="B19" s="25">
        <v>46196</v>
      </c>
      <c r="C19" s="26" t="s">
        <v>20</v>
      </c>
      <c r="D19" s="75"/>
      <c r="E19" s="75">
        <v>100000</v>
      </c>
      <c r="F19" s="75">
        <f t="shared" si="0"/>
        <v>16601100</v>
      </c>
    </row>
    <row r="20" spans="2:6" x14ac:dyDescent="0.3">
      <c r="B20" s="25">
        <v>46197</v>
      </c>
      <c r="C20" s="26" t="s">
        <v>20</v>
      </c>
      <c r="D20" s="75"/>
      <c r="E20" s="75">
        <v>300000</v>
      </c>
      <c r="F20" s="75">
        <f t="shared" si="0"/>
        <v>16301100</v>
      </c>
    </row>
    <row r="21" spans="2:6" x14ac:dyDescent="0.3">
      <c r="B21" s="25">
        <v>46197</v>
      </c>
      <c r="C21" s="26" t="s">
        <v>23</v>
      </c>
      <c r="D21" s="75"/>
      <c r="E21" s="75">
        <v>4000</v>
      </c>
      <c r="F21" s="75">
        <f t="shared" si="0"/>
        <v>16297100</v>
      </c>
    </row>
    <row r="22" spans="2:6" x14ac:dyDescent="0.3">
      <c r="B22" s="25">
        <v>46198</v>
      </c>
      <c r="C22" s="26" t="s">
        <v>20</v>
      </c>
      <c r="D22" s="75"/>
      <c r="E22" s="75">
        <v>420000</v>
      </c>
      <c r="F22" s="75">
        <f t="shared" si="0"/>
        <v>15877100</v>
      </c>
    </row>
    <row r="23" spans="2:6" x14ac:dyDescent="0.3">
      <c r="B23" s="25">
        <v>46198</v>
      </c>
      <c r="C23" s="26" t="s">
        <v>24</v>
      </c>
      <c r="D23" s="75">
        <v>84000</v>
      </c>
      <c r="E23" s="75"/>
      <c r="F23" s="75">
        <f t="shared" si="0"/>
        <v>15961100</v>
      </c>
    </row>
    <row r="24" spans="2:6" x14ac:dyDescent="0.3">
      <c r="B24" s="25">
        <v>46200</v>
      </c>
      <c r="C24" s="26" t="s">
        <v>20</v>
      </c>
      <c r="D24" s="76"/>
      <c r="E24" s="76">
        <v>100000</v>
      </c>
      <c r="F24" s="75">
        <f t="shared" si="0"/>
        <v>15861100</v>
      </c>
    </row>
    <row r="25" spans="2:6" x14ac:dyDescent="0.3">
      <c r="B25" s="25">
        <v>46202</v>
      </c>
      <c r="C25" s="26" t="s">
        <v>20</v>
      </c>
      <c r="D25" s="76"/>
      <c r="E25" s="76">
        <v>530000</v>
      </c>
      <c r="F25" s="75">
        <f t="shared" si="0"/>
        <v>15331100</v>
      </c>
    </row>
    <row r="26" spans="2:6" x14ac:dyDescent="0.3">
      <c r="B26" s="25">
        <v>46202</v>
      </c>
      <c r="C26" s="26" t="s">
        <v>24</v>
      </c>
      <c r="D26" s="76">
        <v>265000</v>
      </c>
      <c r="E26" s="76"/>
      <c r="F26" s="75">
        <f t="shared" si="0"/>
        <v>15596100</v>
      </c>
    </row>
    <row r="27" spans="2:6" x14ac:dyDescent="0.3">
      <c r="B27" s="25">
        <v>46202</v>
      </c>
      <c r="C27" s="26" t="s">
        <v>24</v>
      </c>
      <c r="D27" s="76">
        <v>200000</v>
      </c>
      <c r="E27" s="76"/>
      <c r="F27" s="75">
        <f t="shared" si="0"/>
        <v>15796100</v>
      </c>
    </row>
    <row r="28" spans="2:6" x14ac:dyDescent="0.3">
      <c r="B28" s="25">
        <v>46204</v>
      </c>
      <c r="C28" s="26" t="s">
        <v>20</v>
      </c>
      <c r="D28" s="76"/>
      <c r="E28" s="76">
        <v>150000</v>
      </c>
      <c r="F28" s="75">
        <f t="shared" si="0"/>
        <v>15646100</v>
      </c>
    </row>
    <row r="29" spans="2:6" x14ac:dyDescent="0.3">
      <c r="B29" s="25">
        <v>46205</v>
      </c>
      <c r="C29" s="26" t="s">
        <v>20</v>
      </c>
      <c r="D29" s="76"/>
      <c r="E29" s="76">
        <v>440000</v>
      </c>
      <c r="F29" s="75">
        <f t="shared" si="0"/>
        <v>15206100</v>
      </c>
    </row>
    <row r="30" spans="2:6" x14ac:dyDescent="0.3">
      <c r="B30" s="25">
        <v>46206</v>
      </c>
      <c r="C30" s="26" t="s">
        <v>20</v>
      </c>
      <c r="D30" s="76"/>
      <c r="E30" s="76">
        <v>200000</v>
      </c>
      <c r="F30" s="75">
        <f t="shared" si="0"/>
        <v>15006100</v>
      </c>
    </row>
    <row r="31" spans="2:6" x14ac:dyDescent="0.3">
      <c r="B31" s="25">
        <v>46206</v>
      </c>
      <c r="C31" s="26" t="s">
        <v>25</v>
      </c>
      <c r="D31" s="76">
        <v>2145000</v>
      </c>
      <c r="E31" s="76"/>
      <c r="F31" s="75">
        <f t="shared" si="0"/>
        <v>17151100</v>
      </c>
    </row>
    <row r="32" spans="2:6" x14ac:dyDescent="0.3">
      <c r="B32" s="25">
        <v>46209</v>
      </c>
      <c r="C32" s="26" t="s">
        <v>20</v>
      </c>
      <c r="D32" s="76"/>
      <c r="E32" s="76">
        <v>650000</v>
      </c>
      <c r="F32" s="75">
        <f t="shared" si="0"/>
        <v>16501100</v>
      </c>
    </row>
    <row r="33" spans="2:6" x14ac:dyDescent="0.3">
      <c r="B33" s="25">
        <v>46209</v>
      </c>
      <c r="C33" s="26" t="s">
        <v>26</v>
      </c>
      <c r="D33" s="76"/>
      <c r="E33" s="76">
        <v>35000</v>
      </c>
      <c r="F33" s="75">
        <f t="shared" si="0"/>
        <v>16466100</v>
      </c>
    </row>
    <row r="34" spans="2:6" x14ac:dyDescent="0.3">
      <c r="B34" s="25">
        <v>46211</v>
      </c>
      <c r="C34" s="26" t="s">
        <v>20</v>
      </c>
      <c r="D34" s="76"/>
      <c r="E34" s="76">
        <v>100000</v>
      </c>
      <c r="F34" s="75">
        <f t="shared" si="0"/>
        <v>16366100</v>
      </c>
    </row>
    <row r="35" spans="2:6" x14ac:dyDescent="0.3">
      <c r="B35" s="25">
        <v>46211</v>
      </c>
      <c r="C35" s="26" t="s">
        <v>28</v>
      </c>
      <c r="D35" s="76">
        <v>1804000</v>
      </c>
      <c r="E35" s="76"/>
      <c r="F35" s="75">
        <f t="shared" si="0"/>
        <v>18170100</v>
      </c>
    </row>
    <row r="36" spans="2:6" x14ac:dyDescent="0.3">
      <c r="B36" s="25">
        <v>46211</v>
      </c>
      <c r="C36" s="26" t="s">
        <v>26</v>
      </c>
      <c r="D36" s="76"/>
      <c r="E36" s="76">
        <v>15000</v>
      </c>
      <c r="F36" s="75">
        <f t="shared" si="0"/>
        <v>18155100</v>
      </c>
    </row>
    <row r="37" spans="2:6" x14ac:dyDescent="0.3">
      <c r="B37" s="25">
        <v>46212</v>
      </c>
      <c r="C37" s="26" t="s">
        <v>20</v>
      </c>
      <c r="D37" s="76"/>
      <c r="E37" s="76">
        <v>350000</v>
      </c>
      <c r="F37" s="75">
        <f t="shared" si="0"/>
        <v>17805100</v>
      </c>
    </row>
    <row r="38" spans="2:6" x14ac:dyDescent="0.3">
      <c r="B38" s="25">
        <v>46212</v>
      </c>
      <c r="C38" s="26" t="s">
        <v>27</v>
      </c>
      <c r="D38" s="76">
        <v>650000</v>
      </c>
      <c r="E38" s="76"/>
      <c r="F38" s="75">
        <f t="shared" si="0"/>
        <v>18455100</v>
      </c>
    </row>
    <row r="39" spans="2:6" x14ac:dyDescent="0.3">
      <c r="B39" s="25">
        <v>46213</v>
      </c>
      <c r="C39" s="26" t="s">
        <v>20</v>
      </c>
      <c r="D39" s="76"/>
      <c r="E39" s="76">
        <v>200000</v>
      </c>
      <c r="F39" s="75">
        <f t="shared" si="0"/>
        <v>18255100</v>
      </c>
    </row>
    <row r="40" spans="2:6" x14ac:dyDescent="0.3">
      <c r="B40" s="25">
        <v>46213</v>
      </c>
      <c r="C40" s="26" t="s">
        <v>29</v>
      </c>
      <c r="D40" s="76"/>
      <c r="E40" s="76">
        <v>700000</v>
      </c>
      <c r="F40" s="75">
        <f t="shared" si="0"/>
        <v>17555100</v>
      </c>
    </row>
    <row r="41" spans="2:6" x14ac:dyDescent="0.3">
      <c r="B41" s="25">
        <v>46213</v>
      </c>
      <c r="C41" s="26" t="s">
        <v>30</v>
      </c>
      <c r="D41" s="76"/>
      <c r="E41" s="76">
        <v>700000</v>
      </c>
      <c r="F41" s="75">
        <f t="shared" si="0"/>
        <v>16855100</v>
      </c>
    </row>
    <row r="42" spans="2:6" x14ac:dyDescent="0.3">
      <c r="B42" s="25">
        <v>46213</v>
      </c>
      <c r="C42" s="26" t="s">
        <v>31</v>
      </c>
      <c r="D42" s="76"/>
      <c r="E42" s="76">
        <v>700000</v>
      </c>
      <c r="F42" s="75">
        <f t="shared" si="0"/>
        <v>16155100</v>
      </c>
    </row>
    <row r="43" spans="2:6" x14ac:dyDescent="0.3">
      <c r="B43" s="25">
        <v>46213</v>
      </c>
      <c r="C43" s="26" t="s">
        <v>32</v>
      </c>
      <c r="D43" s="76">
        <v>936000</v>
      </c>
      <c r="E43" s="76"/>
      <c r="F43" s="75">
        <f t="shared" si="0"/>
        <v>17091100</v>
      </c>
    </row>
    <row r="44" spans="2:6" x14ac:dyDescent="0.3">
      <c r="B44" s="25">
        <v>46213</v>
      </c>
      <c r="C44" s="26" t="s">
        <v>33</v>
      </c>
      <c r="D44" s="76">
        <v>3015000</v>
      </c>
      <c r="E44" s="76"/>
      <c r="F44" s="75">
        <f>F43+D44-E44</f>
        <v>20106100</v>
      </c>
    </row>
    <row r="45" spans="2:6" x14ac:dyDescent="0.3">
      <c r="B45" s="27" t="s">
        <v>100</v>
      </c>
      <c r="C45" s="27"/>
      <c r="D45" s="103">
        <f>SUM(D7:D44)</f>
        <v>29216100</v>
      </c>
      <c r="E45" s="103">
        <f>SUM(E7:E44)</f>
        <v>9110000</v>
      </c>
      <c r="F45" s="103">
        <f>D45-E45</f>
        <v>20106100</v>
      </c>
    </row>
    <row r="46" spans="2:6" x14ac:dyDescent="0.3">
      <c r="B46" s="21"/>
      <c r="C46" s="21"/>
      <c r="D46" s="21"/>
    </row>
  </sheetData>
  <mergeCells count="2">
    <mergeCell ref="B1:F1"/>
    <mergeCell ref="B2:F2"/>
  </mergeCells>
  <phoneticPr fontId="5" type="noConversion"/>
  <pageMargins left="0.7" right="0.7" top="0.75" bottom="0.75" header="0.3" footer="0.3"/>
  <pageSetup orientation="portrait" horizontalDpi="0" verticalDpi="0" r:id="rId1"/>
  <ignoredErrors>
    <ignoredError sqref="F7:F4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Ledger</vt:lpstr>
      <vt:lpstr>Trial Balance</vt:lpstr>
      <vt:lpstr>Income Statement</vt:lpstr>
      <vt:lpstr>Statement of Changes in Equity</vt:lpstr>
      <vt:lpstr>Balance Sheet</vt:lpstr>
      <vt:lpstr>Statement of Cash Flows</vt:lpstr>
      <vt:lpstr>'Income Statement'!Print_Area</vt:lpstr>
    </vt:vector>
  </TitlesOfParts>
  <Manager/>
  <Company>Vertex42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Income Statement Template</dc:title>
  <dc:subject/>
  <dc:creator>Vertex42.com</dc:creator>
  <cp:keywords/>
  <dc:description>(c) 2008-2020 Vertex42 LLC. All Rights Reserved.</dc:description>
  <cp:lastModifiedBy>Haji Hamid</cp:lastModifiedBy>
  <cp:revision/>
  <dcterms:created xsi:type="dcterms:W3CDTF">2011-05-30T15:34:37Z</dcterms:created>
  <dcterms:modified xsi:type="dcterms:W3CDTF">2026-09-01T18:31:42Z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2008-2020 Vertex42 LLC</vt:lpwstr>
  </property>
  <property fmtid="{D5CDD505-2E9C-101B-9397-08002B2CF9AE}" pid="3" name="Version">
    <vt:lpwstr>1.2.2</vt:lpwstr>
  </property>
  <property fmtid="{D5CDD505-2E9C-101B-9397-08002B2CF9AE}" pid="4" name="Source">
    <vt:lpwstr>https://www.vertex42.com/ExcelTemplates/income-statement.html</vt:lpwstr>
  </property>
</Properties>
</file>