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F22E3485-17D6-432A-AA7B-7DA59CD41C6A}" xr6:coauthVersionLast="38" xr6:coauthVersionMax="38" xr10:uidLastSave="{00000000-0000-0000-0000-000000000000}"/>
  <bookViews>
    <workbookView xWindow="0" yWindow="0" windowWidth="16380" windowHeight="8190" activeTab="3" xr2:uid="{00000000-000D-0000-FFFF-FFFF00000000}"/>
  </bookViews>
  <sheets>
    <sheet name="Raw_Data" sheetId="2" r:id="rId1"/>
    <sheet name="Financial_Analysis" sheetId="3" r:id="rId2"/>
    <sheet name="Dashboard_Data" sheetId="4" state="hidden" r:id="rId3"/>
    <sheet name="Dashboard" sheetId="1" r:id="rId4"/>
  </sheets>
  <definedNames>
    <definedName name="_xlnm._FilterDatabase" localSheetId="0" hidden="1">Raw_Data!$A$1:$J$37</definedName>
    <definedName name="_xlchart.v1.0" hidden="1">Dashboard_Data!$A$2:$A$6</definedName>
    <definedName name="_xlchart.v1.1" hidden="1">Dashboard_Data!$B$1</definedName>
    <definedName name="_xlchart.v1.2" hidden="1">Dashboard_Data!$B$2:$B$6</definedName>
    <definedName name="_xlchart.v1.3" hidden="1">Dashboard_Data!$A$2:$A$6</definedName>
    <definedName name="_xlchart.v1.4" hidden="1">Dashboard_Data!$B$1</definedName>
    <definedName name="_xlchart.v1.5" hidden="1">Dashboard_Data!$B$2:$B$6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3" l="1"/>
  <c r="C34" i="3"/>
  <c r="C35" i="3"/>
  <c r="C32" i="3"/>
  <c r="K11" i="1" s="1"/>
  <c r="C26" i="3"/>
  <c r="C7" i="3"/>
  <c r="C8" i="3"/>
  <c r="C9" i="3"/>
  <c r="B3" i="4" s="1"/>
  <c r="C10" i="3"/>
  <c r="E2" i="4" s="1"/>
  <c r="C11" i="3"/>
  <c r="C12" i="3"/>
  <c r="C13" i="3"/>
  <c r="B5" i="4" s="1"/>
  <c r="C14" i="3"/>
  <c r="C15" i="3"/>
  <c r="B6" i="4" s="1"/>
  <c r="C16" i="3"/>
  <c r="C6" i="3"/>
  <c r="E7" i="1"/>
  <c r="B4" i="4"/>
  <c r="B2" i="4"/>
  <c r="C25" i="3"/>
  <c r="B11" i="1" s="1"/>
  <c r="E3" i="4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K7" i="1"/>
  <c r="B7" i="1"/>
  <c r="C23" i="3" l="1"/>
  <c r="E11" i="1" s="1"/>
  <c r="H7" i="1"/>
  <c r="C24" i="3"/>
  <c r="H11" i="1" s="1"/>
  <c r="E4" i="4"/>
</calcChain>
</file>

<file path=xl/sharedStrings.xml><?xml version="1.0" encoding="utf-8"?>
<sst xmlns="http://schemas.openxmlformats.org/spreadsheetml/2006/main" count="216" uniqueCount="101">
  <si>
    <t>Financial Reporting Dashboard</t>
  </si>
  <si>
    <t>Report Year</t>
  </si>
  <si>
    <t>Total Revenue</t>
  </si>
  <si>
    <t>Total Expenses</t>
  </si>
  <si>
    <t>Gross Profit</t>
  </si>
  <si>
    <t>Net Profit</t>
  </si>
  <si>
    <t>Net Profit Margin</t>
  </si>
  <si>
    <t>Gross Profit Margin</t>
  </si>
  <si>
    <t>Operating Profit Margin</t>
  </si>
  <si>
    <t>Total Assets</t>
  </si>
  <si>
    <t>Record_ID</t>
  </si>
  <si>
    <t>Statement</t>
  </si>
  <si>
    <t>Category</t>
  </si>
  <si>
    <t>Account</t>
  </si>
  <si>
    <t>Amount</t>
  </si>
  <si>
    <t>Period_Start</t>
  </si>
  <si>
    <t>Period_End</t>
  </si>
  <si>
    <t>As_Of_Date</t>
  </si>
  <si>
    <t>Is_Total</t>
  </si>
  <si>
    <t>Sort_Order</t>
  </si>
  <si>
    <t>Income Statement</t>
  </si>
  <si>
    <t>Revenue</t>
  </si>
  <si>
    <t>Gross Revenue</t>
  </si>
  <si>
    <t>Less: Sales Returns</t>
  </si>
  <si>
    <t>Net Revenue</t>
  </si>
  <si>
    <t>Cost of Sales</t>
  </si>
  <si>
    <t>Cost of Goods Sold (COGS)</t>
  </si>
  <si>
    <t>Operating Expenses</t>
  </si>
  <si>
    <t>Salaries and Wages Expense</t>
  </si>
  <si>
    <t>Facility Rental Expense</t>
  </si>
  <si>
    <t>Marketing Expense</t>
  </si>
  <si>
    <t>Utilities and Other Expenses</t>
  </si>
  <si>
    <t>Depreciation Expense</t>
  </si>
  <si>
    <t>Total Operating Expenses</t>
  </si>
  <si>
    <t>Operating Profit</t>
  </si>
  <si>
    <t>Finance Costs</t>
  </si>
  <si>
    <t>Interest Expense</t>
  </si>
  <si>
    <t>Profit Before Tax</t>
  </si>
  <si>
    <t>Income Tax</t>
  </si>
  <si>
    <t>Income Tax Expense</t>
  </si>
  <si>
    <t>Statement of Changes in Equity</t>
  </si>
  <si>
    <t>Equity</t>
  </si>
  <si>
    <t>Beginning Capital (January 1, 2024)</t>
  </si>
  <si>
    <t>Add: Net Profit for the Current Year</t>
  </si>
  <si>
    <t>Less: Owner's Withdrawals (Drawings)</t>
  </si>
  <si>
    <t>Ending Capital (December 31, 2024)</t>
  </si>
  <si>
    <t>Statement of Financial Position</t>
  </si>
  <si>
    <t>Current Assets</t>
  </si>
  <si>
    <t>Cash and Cash Equivalents</t>
  </si>
  <si>
    <t>Accounts Receivable</t>
  </si>
  <si>
    <t>Inventory</t>
  </si>
  <si>
    <t>Total Current Assets</t>
  </si>
  <si>
    <t>Fixed Assets</t>
  </si>
  <si>
    <t>Store Buildings</t>
  </si>
  <si>
    <t>Equipment and Computers</t>
  </si>
  <si>
    <t>Accumulated Depreciation</t>
  </si>
  <si>
    <t>Total Fixed Assets</t>
  </si>
  <si>
    <t>Assets</t>
  </si>
  <si>
    <t>Current Liabilities</t>
  </si>
  <si>
    <t>Accounts Payable</t>
  </si>
  <si>
    <t>Taxes Payable</t>
  </si>
  <si>
    <t>Total Current Liabilities</t>
  </si>
  <si>
    <t>Non-current Liabilities</t>
  </si>
  <si>
    <t>Bank Loan (Expansion Financing)</t>
  </si>
  <si>
    <t>Total Non-current Liabilities</t>
  </si>
  <si>
    <t>Ending Capital</t>
  </si>
  <si>
    <t>Liabilities and Equity</t>
  </si>
  <si>
    <t>Total Liabilities and Equity</t>
  </si>
  <si>
    <t>Financial Analysis</t>
  </si>
  <si>
    <t>Income Statement Metrics</t>
  </si>
  <si>
    <t>Metric</t>
  </si>
  <si>
    <t>Source Account</t>
  </si>
  <si>
    <t>Amount (EGP)</t>
  </si>
  <si>
    <t>Notes</t>
  </si>
  <si>
    <t>Direct from statement</t>
  </si>
  <si>
    <t>Sales Returns</t>
  </si>
  <si>
    <t>Shown as positive deduction</t>
  </si>
  <si>
    <t>COGS</t>
  </si>
  <si>
    <t>Shown as positive cost</t>
  </si>
  <si>
    <t>Shown as positive expense</t>
  </si>
  <si>
    <t>KPI Ratios</t>
  </si>
  <si>
    <t>KPI</t>
  </si>
  <si>
    <t>Formula Basis</t>
  </si>
  <si>
    <t>Result</t>
  </si>
  <si>
    <t>Interpretation</t>
  </si>
  <si>
    <t>Revenue Growth</t>
  </si>
  <si>
    <t>Previous year not available in statement</t>
  </si>
  <si>
    <t>Statement contains only FY2024, so growth is not calculated</t>
  </si>
  <si>
    <t>Gross Profit / Net Revenue</t>
  </si>
  <si>
    <t>Profit retained after COGS</t>
  </si>
  <si>
    <t>Operating Profit / Net Revenue</t>
  </si>
  <si>
    <t>Operating profit per EGP of net revenue</t>
  </si>
  <si>
    <t>Net Profit / Net Revenue</t>
  </si>
  <si>
    <t>Net profit per EGP of net revenue</t>
  </si>
  <si>
    <t>Expense to Revenue Ratio</t>
  </si>
  <si>
    <t>Operating Expenses / Net Revenue</t>
  </si>
  <si>
    <t>Operating expense burden relative to revenue</t>
  </si>
  <si>
    <t>Statement of Financial Position (As of 31-Dec-2024)</t>
  </si>
  <si>
    <t>As-of balance sheet amount</t>
  </si>
  <si>
    <t>Total Liabilities</t>
  </si>
  <si>
    <t>Profit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</si>
</sst>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dd\-mmm\-yyyy"/>
    <numFmt numFmtId="169" formatCode="&quot;EGP&quot;\ #,##0;[Red]&quot;EGP&quot;\ \-#,##0"/>
  </numFmts>
  <fonts count="9" x14ac:knownFonts="1">
    <font>
      <sz val="11"/>
      <color theme="1"/>
      <name val="Calibri"/>
      <family val="2"/>
      <charset val="1"/>
    </font>
    <font>
      <b/>
      <sz val="22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17365D"/>
      <name val="Cambria"/>
      <charset val="1"/>
    </font>
    <font>
      <b/>
      <sz val="11"/>
      <color rgb="FFFFFFFF"/>
      <name val="Cambria"/>
      <charset val="1"/>
    </font>
    <font>
      <b/>
      <sz val="16"/>
      <color rgb="FF17365D"/>
      <name val="Cambria"/>
      <charset val="1"/>
    </font>
    <font>
      <b/>
      <sz val="18"/>
      <color rgb="FF17365D"/>
      <name val="Cambria"/>
      <charset val="1"/>
    </font>
    <font>
      <b/>
      <sz val="13"/>
      <color rgb="FFFFFFFF"/>
      <name val="Cambria"/>
      <charset val="1"/>
    </font>
    <font>
      <b/>
      <sz val="11"/>
      <color rgb="FFFFFFFF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E1F2"/>
      </patternFill>
    </fill>
    <fill>
      <patternFill patternType="solid">
        <fgColor rgb="FF2F75B5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0F6B78"/>
        <bgColor rgb="FF008080"/>
      </patternFill>
    </fill>
    <fill>
      <patternFill patternType="solid">
        <fgColor rgb="FF70AD47"/>
        <bgColor rgb="FF878787"/>
      </patternFill>
    </fill>
    <fill>
      <patternFill patternType="solid">
        <fgColor rgb="FFF7FBFF"/>
        <bgColor rgb="FFF9F9F9"/>
      </patternFill>
    </fill>
    <fill>
      <patternFill patternType="solid">
        <fgColor rgb="FFE2F0D9"/>
        <bgColor rgb="FFD9EAF7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0" fillId="3" borderId="0" xfId="0" applyFill="1" applyAlignment="1">
      <alignment horizontal="center"/>
    </xf>
    <xf numFmtId="0" fontId="0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center"/>
    </xf>
    <xf numFmtId="0" fontId="0" fillId="0" borderId="3" xfId="0" applyBorder="1"/>
    <xf numFmtId="166" fontId="0" fillId="0" borderId="3" xfId="0" applyNumberFormat="1" applyBorder="1"/>
    <xf numFmtId="0" fontId="0" fillId="0" borderId="3" xfId="0" applyBorder="1" applyAlignment="1">
      <alignment horizontal="center"/>
    </xf>
    <xf numFmtId="0" fontId="6" fillId="0" borderId="0" xfId="0" applyFont="1"/>
    <xf numFmtId="0" fontId="4" fillId="4" borderId="0" xfId="0" applyFont="1" applyFill="1"/>
    <xf numFmtId="165" fontId="0" fillId="0" borderId="3" xfId="0" applyNumberFormat="1" applyBorder="1"/>
    <xf numFmtId="3" fontId="0" fillId="0" borderId="0" xfId="0" applyNumberFormat="1"/>
    <xf numFmtId="10" fontId="0" fillId="0" borderId="3" xfId="0" applyNumberFormat="1" applyBorder="1"/>
    <xf numFmtId="0" fontId="1" fillId="2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5" fillId="9" borderId="1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9" fontId="0" fillId="0" borderId="3" xfId="0" applyNumberFormat="1" applyBorder="1"/>
    <xf numFmtId="0" fontId="8" fillId="4" borderId="0" xfId="0" applyFont="1" applyFill="1"/>
    <xf numFmtId="169" fontId="5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D9E1F2"/>
      <rgbColor rgb="FF878787"/>
      <rgbColor rgb="FF9999FF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70AD47"/>
      <rgbColor rgb="FFFFCC00"/>
      <rgbColor rgb="FFFF9900"/>
      <rgbColor rgb="FFED7D31"/>
      <rgbColor rgb="FF666666"/>
      <rgbColor rgb="FFA5A5A5"/>
      <rgbColor rgb="FF17365D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Profit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Dashboard_Data!$E$1</c:f>
              <c:strCache>
                <c:ptCount val="1"/>
                <c:pt idx="0">
                  <c:v>Amount (EGP)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Dashboard_Data!$D$2:$D$4</c:f>
              <c:strCache>
                <c:ptCount val="3"/>
                <c:pt idx="0">
                  <c:v>Gross Profit</c:v>
                </c:pt>
                <c:pt idx="1">
                  <c:v>Operating Profit</c:v>
                </c:pt>
                <c:pt idx="2">
                  <c:v>Net Profit</c:v>
                </c:pt>
              </c:strCache>
            </c:strRef>
          </c:cat>
          <c:val>
            <c:numRef>
              <c:f>Dashboard_Data!$E$2:$E$4</c:f>
              <c:numCache>
                <c:formatCode>#,##0</c:formatCode>
                <c:ptCount val="3"/>
                <c:pt idx="0">
                  <c:v>3025536</c:v>
                </c:pt>
                <c:pt idx="1">
                  <c:v>612110</c:v>
                </c:pt>
                <c:pt idx="2">
                  <c:v>511574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E-4C19-BC48-60E2C190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07711"/>
        <c:axId val="13373798"/>
      </c:barChart>
      <c:catAx>
        <c:axId val="4800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73798"/>
        <c:crosses val="autoZero"/>
        <c:auto val="1"/>
        <c:lblAlgn val="ctr"/>
        <c:lblOffset val="100"/>
        <c:noMultiLvlLbl val="0"/>
      </c:catAx>
      <c:valAx>
        <c:axId val="13373798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&quot;EGP&quot;\ #,##0;[Red]&quot;EGP&quot;\ \-#,##0" sourceLinked="0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07711"/>
        <c:crosses val="autoZero"/>
        <c:crossBetween val="between"/>
        <c:dispUnits>
          <c:builtInUnit val="millions"/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Revenue and Expense Snapshot</cx:v>
        </cx:txData>
      </cx:tx>
      <cx:txPr>
        <a:bodyPr rot="0" spcFirstLastPara="1" vertOverflow="ellipsis" wrap="square" lIns="38100" tIns="19050" rIns="38100" bIns="19050" anchor="ctr" anchorCtr="1" compatLnSpc="0"/>
        <a:lstStyle/>
        <a:p>
          <a:pPr algn="ctr" rtl="0"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r>
            <a:rPr kumimoji="0" lang="en-ID" sz="1800" b="1" i="0" u="none" strike="noStrike" kern="1200" cap="none" spc="-1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Revenue and Expense Snapshot</a:t>
          </a:r>
        </a:p>
      </cx:txPr>
    </cx:title>
    <cx:plotArea>
      <cx:plotAreaRegion>
        <cx:series layoutId="waterfall" uniqueId="{FCFB1100-259D-4E5F-BF33-3CBE3B5BD1E8}">
          <cx:tx>
            <cx:txData>
              <cx:f>_xlchart.v1.1</cx:f>
              <cx:v>Amount (EGP)</cx:v>
            </cx:txData>
          </cx:tx>
          <cx:dataId val="0"/>
          <cx:layoutPr>
            <cx:subtotals/>
          </cx:layoutPr>
        </cx:series>
      </cx:plotAreaRegion>
      <cx:axis id="0">
        <cx:catScaling/>
        <cx:tickLabels/>
        <cx:spPr>
          <a:ln>
            <a:noFill/>
          </a:ln>
        </cx:spPr>
      </cx:axis>
      <cx:axis id="1">
        <cx:valScaling/>
        <cx:units unit="millions"/>
        <cx:tickLabels/>
        <cx:numFmt formatCode="&quot;EGP&quot; #,##0;[Red]&quot;EGP&quot; -#,##0" sourceLinked="0"/>
        <cx:spPr>
          <a:ln>
            <a:noFill/>
          </a:ln>
        </cx:sp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973663</xdr:colOff>
      <xdr:row>12</xdr:row>
      <xdr:rowOff>111960</xdr:rowOff>
    </xdr:from>
    <xdr:to>
      <xdr:col>5</xdr:col>
      <xdr:colOff>741700</xdr:colOff>
      <xdr:row>25</xdr:row>
      <xdr:rowOff>155160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746" y="2673127"/>
              <a:ext cx="4107204" cy="251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12</xdr:row>
      <xdr:rowOff>111960</xdr:rowOff>
    </xdr:from>
    <xdr:to>
      <xdr:col>10</xdr:col>
      <xdr:colOff>1239120</xdr:colOff>
      <xdr:row>25</xdr:row>
      <xdr:rowOff>155160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showGridLines="0" zoomScaleNormal="100" workbookViewId="0">
      <pane ySplit="1" topLeftCell="A2" activePane="bottomLeft" state="frozen"/>
      <selection pane="bottomLeft" activeCell="J22" sqref="J22"/>
    </sheetView>
  </sheetViews>
  <sheetFormatPr defaultColWidth="8.5703125" defaultRowHeight="15" x14ac:dyDescent="0.25"/>
  <cols>
    <col min="1" max="1" width="12" customWidth="1"/>
    <col min="2" max="2" width="30" customWidth="1"/>
    <col min="3" max="3" width="22" customWidth="1"/>
    <col min="4" max="4" width="38" customWidth="1"/>
    <col min="5" max="5" width="16" customWidth="1"/>
    <col min="6" max="8" width="15" customWidth="1"/>
    <col min="9" max="10" width="12" customWidth="1"/>
  </cols>
  <sheetData>
    <row r="1" spans="1:10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spans="1:10" x14ac:dyDescent="0.25">
      <c r="A2" s="6">
        <v>1</v>
      </c>
      <c r="B2" s="6" t="s">
        <v>20</v>
      </c>
      <c r="C2" s="6" t="s">
        <v>21</v>
      </c>
      <c r="D2" s="6" t="s">
        <v>22</v>
      </c>
      <c r="E2" s="23">
        <v>15580941</v>
      </c>
      <c r="F2" s="7">
        <v>45292</v>
      </c>
      <c r="G2" s="7">
        <v>45657</v>
      </c>
      <c r="H2" s="7"/>
      <c r="I2" s="8" t="b">
        <f>FALSE()</f>
        <v>0</v>
      </c>
      <c r="J2" s="6">
        <v>1</v>
      </c>
    </row>
    <row r="3" spans="1:10" x14ac:dyDescent="0.25">
      <c r="A3" s="6">
        <v>2</v>
      </c>
      <c r="B3" s="6" t="s">
        <v>20</v>
      </c>
      <c r="C3" s="6" t="s">
        <v>21</v>
      </c>
      <c r="D3" s="6" t="s">
        <v>23</v>
      </c>
      <c r="E3" s="23">
        <v>-1437905</v>
      </c>
      <c r="F3" s="7">
        <v>45292</v>
      </c>
      <c r="G3" s="7">
        <v>45657</v>
      </c>
      <c r="H3" s="7"/>
      <c r="I3" s="8" t="b">
        <f>FALSE()</f>
        <v>0</v>
      </c>
      <c r="J3" s="6">
        <v>2</v>
      </c>
    </row>
    <row r="4" spans="1:10" x14ac:dyDescent="0.25">
      <c r="A4" s="6">
        <v>3</v>
      </c>
      <c r="B4" s="6" t="s">
        <v>20</v>
      </c>
      <c r="C4" s="6" t="s">
        <v>21</v>
      </c>
      <c r="D4" s="6" t="s">
        <v>24</v>
      </c>
      <c r="E4" s="23">
        <v>14143036</v>
      </c>
      <c r="F4" s="7">
        <v>45292</v>
      </c>
      <c r="G4" s="7">
        <v>45657</v>
      </c>
      <c r="H4" s="7"/>
      <c r="I4" s="8" t="b">
        <f>FALSE()</f>
        <v>0</v>
      </c>
      <c r="J4" s="6">
        <v>3</v>
      </c>
    </row>
    <row r="5" spans="1:10" x14ac:dyDescent="0.25">
      <c r="A5" s="6">
        <v>4</v>
      </c>
      <c r="B5" s="6" t="s">
        <v>20</v>
      </c>
      <c r="C5" s="6" t="s">
        <v>25</v>
      </c>
      <c r="D5" s="6" t="s">
        <v>26</v>
      </c>
      <c r="E5" s="23">
        <v>-11117500</v>
      </c>
      <c r="F5" s="7">
        <v>45292</v>
      </c>
      <c r="G5" s="7">
        <v>45657</v>
      </c>
      <c r="H5" s="7"/>
      <c r="I5" s="8" t="b">
        <f>FALSE()</f>
        <v>0</v>
      </c>
      <c r="J5" s="6">
        <v>4</v>
      </c>
    </row>
    <row r="6" spans="1:10" x14ac:dyDescent="0.25">
      <c r="A6" s="6">
        <v>5</v>
      </c>
      <c r="B6" s="6" t="s">
        <v>20</v>
      </c>
      <c r="C6" s="6" t="s">
        <v>4</v>
      </c>
      <c r="D6" s="6" t="s">
        <v>4</v>
      </c>
      <c r="E6" s="23">
        <v>3025536</v>
      </c>
      <c r="F6" s="7">
        <v>45292</v>
      </c>
      <c r="G6" s="7">
        <v>45657</v>
      </c>
      <c r="H6" s="7"/>
      <c r="I6" s="8" t="b">
        <f>TRUE()</f>
        <v>1</v>
      </c>
      <c r="J6" s="6">
        <v>5</v>
      </c>
    </row>
    <row r="7" spans="1:10" x14ac:dyDescent="0.25">
      <c r="A7" s="6">
        <v>6</v>
      </c>
      <c r="B7" s="6" t="s">
        <v>20</v>
      </c>
      <c r="C7" s="6" t="s">
        <v>27</v>
      </c>
      <c r="D7" s="6" t="s">
        <v>28</v>
      </c>
      <c r="E7" s="23">
        <v>-1573726</v>
      </c>
      <c r="F7" s="7">
        <v>45292</v>
      </c>
      <c r="G7" s="7">
        <v>45657</v>
      </c>
      <c r="H7" s="7"/>
      <c r="I7" s="8" t="b">
        <f>FALSE()</f>
        <v>0</v>
      </c>
      <c r="J7" s="6">
        <v>6</v>
      </c>
    </row>
    <row r="8" spans="1:10" x14ac:dyDescent="0.25">
      <c r="A8" s="6">
        <v>7</v>
      </c>
      <c r="B8" s="6" t="s">
        <v>20</v>
      </c>
      <c r="C8" s="6" t="s">
        <v>27</v>
      </c>
      <c r="D8" s="6" t="s">
        <v>29</v>
      </c>
      <c r="E8" s="23">
        <v>-235350</v>
      </c>
      <c r="F8" s="7">
        <v>45292</v>
      </c>
      <c r="G8" s="7">
        <v>45657</v>
      </c>
      <c r="H8" s="7"/>
      <c r="I8" s="8" t="b">
        <f>FALSE()</f>
        <v>0</v>
      </c>
      <c r="J8" s="6">
        <v>7</v>
      </c>
    </row>
    <row r="9" spans="1:10" x14ac:dyDescent="0.25">
      <c r="A9" s="6">
        <v>8</v>
      </c>
      <c r="B9" s="6" t="s">
        <v>20</v>
      </c>
      <c r="C9" s="6" t="s">
        <v>27</v>
      </c>
      <c r="D9" s="6" t="s">
        <v>30</v>
      </c>
      <c r="E9" s="23">
        <v>-568200</v>
      </c>
      <c r="F9" s="7">
        <v>45292</v>
      </c>
      <c r="G9" s="7">
        <v>45657</v>
      </c>
      <c r="H9" s="7"/>
      <c r="I9" s="8" t="b">
        <f>FALSE()</f>
        <v>0</v>
      </c>
      <c r="J9" s="6">
        <v>8</v>
      </c>
    </row>
    <row r="10" spans="1:10" x14ac:dyDescent="0.25">
      <c r="A10" s="6">
        <v>9</v>
      </c>
      <c r="B10" s="6" t="s">
        <v>20</v>
      </c>
      <c r="C10" s="6" t="s">
        <v>27</v>
      </c>
      <c r="D10" s="6" t="s">
        <v>31</v>
      </c>
      <c r="E10" s="23">
        <v>-21150</v>
      </c>
      <c r="F10" s="7">
        <v>45292</v>
      </c>
      <c r="G10" s="7">
        <v>45657</v>
      </c>
      <c r="H10" s="7"/>
      <c r="I10" s="8" t="b">
        <f>FALSE()</f>
        <v>0</v>
      </c>
      <c r="J10" s="6">
        <v>9</v>
      </c>
    </row>
    <row r="11" spans="1:10" x14ac:dyDescent="0.25">
      <c r="A11" s="6">
        <v>10</v>
      </c>
      <c r="B11" s="6" t="s">
        <v>20</v>
      </c>
      <c r="C11" s="6" t="s">
        <v>27</v>
      </c>
      <c r="D11" s="6" t="s">
        <v>32</v>
      </c>
      <c r="E11" s="23">
        <v>-15000</v>
      </c>
      <c r="F11" s="7">
        <v>45292</v>
      </c>
      <c r="G11" s="7">
        <v>45657</v>
      </c>
      <c r="H11" s="7"/>
      <c r="I11" s="8" t="b">
        <f>FALSE()</f>
        <v>0</v>
      </c>
      <c r="J11" s="6">
        <v>10</v>
      </c>
    </row>
    <row r="12" spans="1:10" x14ac:dyDescent="0.25">
      <c r="A12" s="6">
        <v>11</v>
      </c>
      <c r="B12" s="6" t="s">
        <v>20</v>
      </c>
      <c r="C12" s="6" t="s">
        <v>27</v>
      </c>
      <c r="D12" s="6" t="s">
        <v>33</v>
      </c>
      <c r="E12" s="23">
        <v>-2413426</v>
      </c>
      <c r="F12" s="7">
        <v>45292</v>
      </c>
      <c r="G12" s="7">
        <v>45657</v>
      </c>
      <c r="H12" s="7"/>
      <c r="I12" s="8" t="b">
        <f>TRUE()</f>
        <v>1</v>
      </c>
      <c r="J12" s="6">
        <v>11</v>
      </c>
    </row>
    <row r="13" spans="1:10" x14ac:dyDescent="0.25">
      <c r="A13" s="6">
        <v>12</v>
      </c>
      <c r="B13" s="6" t="s">
        <v>20</v>
      </c>
      <c r="C13" s="6" t="s">
        <v>34</v>
      </c>
      <c r="D13" s="6" t="s">
        <v>34</v>
      </c>
      <c r="E13" s="23">
        <v>612110</v>
      </c>
      <c r="F13" s="7">
        <v>45292</v>
      </c>
      <c r="G13" s="7">
        <v>45657</v>
      </c>
      <c r="H13" s="7"/>
      <c r="I13" s="8" t="b">
        <f>TRUE()</f>
        <v>1</v>
      </c>
      <c r="J13" s="6">
        <v>12</v>
      </c>
    </row>
    <row r="14" spans="1:10" x14ac:dyDescent="0.25">
      <c r="A14" s="6">
        <v>13</v>
      </c>
      <c r="B14" s="6" t="s">
        <v>20</v>
      </c>
      <c r="C14" s="6" t="s">
        <v>35</v>
      </c>
      <c r="D14" s="6" t="s">
        <v>36</v>
      </c>
      <c r="E14" s="23">
        <v>-75536</v>
      </c>
      <c r="F14" s="7">
        <v>45292</v>
      </c>
      <c r="G14" s="7">
        <v>45657</v>
      </c>
      <c r="H14" s="7"/>
      <c r="I14" s="8" t="b">
        <f>FALSE()</f>
        <v>0</v>
      </c>
      <c r="J14" s="6">
        <v>13</v>
      </c>
    </row>
    <row r="15" spans="1:10" x14ac:dyDescent="0.25">
      <c r="A15" s="6">
        <v>14</v>
      </c>
      <c r="B15" s="6" t="s">
        <v>20</v>
      </c>
      <c r="C15" s="6" t="s">
        <v>37</v>
      </c>
      <c r="D15" s="6" t="s">
        <v>37</v>
      </c>
      <c r="E15" s="23">
        <v>536574</v>
      </c>
      <c r="F15" s="7">
        <v>45292</v>
      </c>
      <c r="G15" s="7">
        <v>45657</v>
      </c>
      <c r="H15" s="7"/>
      <c r="I15" s="8" t="b">
        <f>TRUE()</f>
        <v>1</v>
      </c>
      <c r="J15" s="6">
        <v>14</v>
      </c>
    </row>
    <row r="16" spans="1:10" x14ac:dyDescent="0.25">
      <c r="A16" s="6">
        <v>15</v>
      </c>
      <c r="B16" s="6" t="s">
        <v>20</v>
      </c>
      <c r="C16" s="6" t="s">
        <v>38</v>
      </c>
      <c r="D16" s="6" t="s">
        <v>39</v>
      </c>
      <c r="E16" s="23">
        <v>-25000</v>
      </c>
      <c r="F16" s="7">
        <v>45292</v>
      </c>
      <c r="G16" s="7">
        <v>45657</v>
      </c>
      <c r="H16" s="7"/>
      <c r="I16" s="8" t="b">
        <f>FALSE()</f>
        <v>0</v>
      </c>
      <c r="J16" s="6">
        <v>15</v>
      </c>
    </row>
    <row r="17" spans="1:10" x14ac:dyDescent="0.25">
      <c r="A17" s="6">
        <v>16</v>
      </c>
      <c r="B17" s="6" t="s">
        <v>20</v>
      </c>
      <c r="C17" s="6" t="s">
        <v>5</v>
      </c>
      <c r="D17" s="6" t="s">
        <v>5</v>
      </c>
      <c r="E17" s="23">
        <v>511574</v>
      </c>
      <c r="F17" s="7">
        <v>45292</v>
      </c>
      <c r="G17" s="7">
        <v>45657</v>
      </c>
      <c r="H17" s="7"/>
      <c r="I17" s="8" t="b">
        <f>TRUE()</f>
        <v>1</v>
      </c>
      <c r="J17" s="6">
        <v>16</v>
      </c>
    </row>
    <row r="18" spans="1:10" x14ac:dyDescent="0.25">
      <c r="A18" s="6">
        <v>17</v>
      </c>
      <c r="B18" s="6" t="s">
        <v>40</v>
      </c>
      <c r="C18" s="6" t="s">
        <v>41</v>
      </c>
      <c r="D18" s="6" t="s">
        <v>42</v>
      </c>
      <c r="E18" s="23">
        <v>8308426</v>
      </c>
      <c r="F18" s="7">
        <v>45292</v>
      </c>
      <c r="G18" s="7">
        <v>45657</v>
      </c>
      <c r="H18" s="7">
        <v>45657</v>
      </c>
      <c r="I18" s="8" t="b">
        <f>FALSE()</f>
        <v>0</v>
      </c>
      <c r="J18" s="6">
        <v>17</v>
      </c>
    </row>
    <row r="19" spans="1:10" x14ac:dyDescent="0.25">
      <c r="A19" s="6">
        <v>18</v>
      </c>
      <c r="B19" s="6" t="s">
        <v>40</v>
      </c>
      <c r="C19" s="6" t="s">
        <v>41</v>
      </c>
      <c r="D19" s="6" t="s">
        <v>43</v>
      </c>
      <c r="E19" s="23">
        <v>511574</v>
      </c>
      <c r="F19" s="7">
        <v>45292</v>
      </c>
      <c r="G19" s="7">
        <v>45657</v>
      </c>
      <c r="H19" s="7">
        <v>45657</v>
      </c>
      <c r="I19" s="8" t="b">
        <f>FALSE()</f>
        <v>0</v>
      </c>
      <c r="J19" s="6">
        <v>18</v>
      </c>
    </row>
    <row r="20" spans="1:10" x14ac:dyDescent="0.25">
      <c r="A20" s="6">
        <v>19</v>
      </c>
      <c r="B20" s="6" t="s">
        <v>40</v>
      </c>
      <c r="C20" s="6" t="s">
        <v>41</v>
      </c>
      <c r="D20" s="6" t="s">
        <v>44</v>
      </c>
      <c r="E20" s="23">
        <v>-20000</v>
      </c>
      <c r="F20" s="7">
        <v>45292</v>
      </c>
      <c r="G20" s="7">
        <v>45657</v>
      </c>
      <c r="H20" s="7">
        <v>45657</v>
      </c>
      <c r="I20" s="8" t="b">
        <f>FALSE()</f>
        <v>0</v>
      </c>
      <c r="J20" s="6">
        <v>19</v>
      </c>
    </row>
    <row r="21" spans="1:10" x14ac:dyDescent="0.25">
      <c r="A21" s="6">
        <v>20</v>
      </c>
      <c r="B21" s="6" t="s">
        <v>40</v>
      </c>
      <c r="C21" s="6" t="s">
        <v>41</v>
      </c>
      <c r="D21" s="6" t="s">
        <v>45</v>
      </c>
      <c r="E21" s="23">
        <v>8800000</v>
      </c>
      <c r="F21" s="7">
        <v>45292</v>
      </c>
      <c r="G21" s="7">
        <v>45657</v>
      </c>
      <c r="H21" s="7">
        <v>45657</v>
      </c>
      <c r="I21" s="8" t="b">
        <f>TRUE()</f>
        <v>1</v>
      </c>
      <c r="J21" s="6">
        <v>20</v>
      </c>
    </row>
    <row r="22" spans="1:10" x14ac:dyDescent="0.25">
      <c r="A22" s="6">
        <v>21</v>
      </c>
      <c r="B22" s="6" t="s">
        <v>46</v>
      </c>
      <c r="C22" s="6" t="s">
        <v>47</v>
      </c>
      <c r="D22" s="6" t="s">
        <v>48</v>
      </c>
      <c r="E22" s="23">
        <v>3450000</v>
      </c>
      <c r="F22" s="7"/>
      <c r="G22" s="7"/>
      <c r="H22" s="7">
        <v>45657</v>
      </c>
      <c r="I22" s="8" t="b">
        <f>FALSE()</f>
        <v>0</v>
      </c>
      <c r="J22" s="6">
        <v>21</v>
      </c>
    </row>
    <row r="23" spans="1:10" x14ac:dyDescent="0.25">
      <c r="A23" s="6">
        <v>22</v>
      </c>
      <c r="B23" s="6" t="s">
        <v>46</v>
      </c>
      <c r="C23" s="6" t="s">
        <v>47</v>
      </c>
      <c r="D23" s="6" t="s">
        <v>49</v>
      </c>
      <c r="E23" s="23">
        <v>1250000</v>
      </c>
      <c r="F23" s="7"/>
      <c r="G23" s="7"/>
      <c r="H23" s="7">
        <v>45657</v>
      </c>
      <c r="I23" s="8" t="b">
        <f>FALSE()</f>
        <v>0</v>
      </c>
      <c r="J23" s="6">
        <v>22</v>
      </c>
    </row>
    <row r="24" spans="1:10" x14ac:dyDescent="0.25">
      <c r="A24" s="6">
        <v>23</v>
      </c>
      <c r="B24" s="6" t="s">
        <v>46</v>
      </c>
      <c r="C24" s="6" t="s">
        <v>47</v>
      </c>
      <c r="D24" s="6" t="s">
        <v>50</v>
      </c>
      <c r="E24" s="23">
        <v>4500000</v>
      </c>
      <c r="F24" s="7"/>
      <c r="G24" s="7"/>
      <c r="H24" s="7">
        <v>45657</v>
      </c>
      <c r="I24" s="8" t="b">
        <f>FALSE()</f>
        <v>0</v>
      </c>
      <c r="J24" s="6">
        <v>23</v>
      </c>
    </row>
    <row r="25" spans="1:10" x14ac:dyDescent="0.25">
      <c r="A25" s="6">
        <v>24</v>
      </c>
      <c r="B25" s="6" t="s">
        <v>46</v>
      </c>
      <c r="C25" s="6" t="s">
        <v>47</v>
      </c>
      <c r="D25" s="6" t="s">
        <v>51</v>
      </c>
      <c r="E25" s="23">
        <v>9200000</v>
      </c>
      <c r="F25" s="7"/>
      <c r="G25" s="7"/>
      <c r="H25" s="7">
        <v>45657</v>
      </c>
      <c r="I25" s="8" t="b">
        <f>TRUE()</f>
        <v>1</v>
      </c>
      <c r="J25" s="6">
        <v>24</v>
      </c>
    </row>
    <row r="26" spans="1:10" x14ac:dyDescent="0.25">
      <c r="A26" s="6">
        <v>25</v>
      </c>
      <c r="B26" s="6" t="s">
        <v>46</v>
      </c>
      <c r="C26" s="6" t="s">
        <v>52</v>
      </c>
      <c r="D26" s="6" t="s">
        <v>53</v>
      </c>
      <c r="E26" s="23">
        <v>15000000</v>
      </c>
      <c r="F26" s="7"/>
      <c r="G26" s="7"/>
      <c r="H26" s="7">
        <v>45657</v>
      </c>
      <c r="I26" s="8" t="b">
        <f>FALSE()</f>
        <v>0</v>
      </c>
      <c r="J26" s="6">
        <v>25</v>
      </c>
    </row>
    <row r="27" spans="1:10" x14ac:dyDescent="0.25">
      <c r="A27" s="6">
        <v>26</v>
      </c>
      <c r="B27" s="6" t="s">
        <v>46</v>
      </c>
      <c r="C27" s="6" t="s">
        <v>52</v>
      </c>
      <c r="D27" s="6" t="s">
        <v>54</v>
      </c>
      <c r="E27" s="23">
        <v>2500000</v>
      </c>
      <c r="F27" s="7"/>
      <c r="G27" s="7"/>
      <c r="H27" s="7">
        <v>45657</v>
      </c>
      <c r="I27" s="8" t="b">
        <f>FALSE()</f>
        <v>0</v>
      </c>
      <c r="J27" s="6">
        <v>26</v>
      </c>
    </row>
    <row r="28" spans="1:10" x14ac:dyDescent="0.25">
      <c r="A28" s="6">
        <v>27</v>
      </c>
      <c r="B28" s="6" t="s">
        <v>46</v>
      </c>
      <c r="C28" s="6" t="s">
        <v>52</v>
      </c>
      <c r="D28" s="6" t="s">
        <v>55</v>
      </c>
      <c r="E28" s="23">
        <v>-500000</v>
      </c>
      <c r="F28" s="7"/>
      <c r="G28" s="7"/>
      <c r="H28" s="7">
        <v>45657</v>
      </c>
      <c r="I28" s="8" t="b">
        <f>FALSE()</f>
        <v>0</v>
      </c>
      <c r="J28" s="6">
        <v>27</v>
      </c>
    </row>
    <row r="29" spans="1:10" x14ac:dyDescent="0.25">
      <c r="A29" s="6">
        <v>28</v>
      </c>
      <c r="B29" s="6" t="s">
        <v>46</v>
      </c>
      <c r="C29" s="6" t="s">
        <v>52</v>
      </c>
      <c r="D29" s="6" t="s">
        <v>56</v>
      </c>
      <c r="E29" s="23">
        <v>17000000</v>
      </c>
      <c r="F29" s="7"/>
      <c r="G29" s="7"/>
      <c r="H29" s="7">
        <v>45657</v>
      </c>
      <c r="I29" s="8" t="b">
        <f>TRUE()</f>
        <v>1</v>
      </c>
      <c r="J29" s="6">
        <v>28</v>
      </c>
    </row>
    <row r="30" spans="1:10" x14ac:dyDescent="0.25">
      <c r="A30" s="6">
        <v>29</v>
      </c>
      <c r="B30" s="6" t="s">
        <v>46</v>
      </c>
      <c r="C30" s="6" t="s">
        <v>57</v>
      </c>
      <c r="D30" s="6" t="s">
        <v>9</v>
      </c>
      <c r="E30" s="23">
        <v>26200000</v>
      </c>
      <c r="F30" s="7"/>
      <c r="G30" s="7"/>
      <c r="H30" s="7">
        <v>45657</v>
      </c>
      <c r="I30" s="8" t="b">
        <f>TRUE()</f>
        <v>1</v>
      </c>
      <c r="J30" s="6">
        <v>29</v>
      </c>
    </row>
    <row r="31" spans="1:10" x14ac:dyDescent="0.25">
      <c r="A31" s="6">
        <v>30</v>
      </c>
      <c r="B31" s="6" t="s">
        <v>46</v>
      </c>
      <c r="C31" s="6" t="s">
        <v>58</v>
      </c>
      <c r="D31" s="6" t="s">
        <v>59</v>
      </c>
      <c r="E31" s="23">
        <v>1150000</v>
      </c>
      <c r="F31" s="7"/>
      <c r="G31" s="7"/>
      <c r="H31" s="7">
        <v>45657</v>
      </c>
      <c r="I31" s="8" t="b">
        <f>FALSE()</f>
        <v>0</v>
      </c>
      <c r="J31" s="6">
        <v>30</v>
      </c>
    </row>
    <row r="32" spans="1:10" x14ac:dyDescent="0.25">
      <c r="A32" s="6">
        <v>31</v>
      </c>
      <c r="B32" s="6" t="s">
        <v>46</v>
      </c>
      <c r="C32" s="6" t="s">
        <v>58</v>
      </c>
      <c r="D32" s="6" t="s">
        <v>60</v>
      </c>
      <c r="E32" s="23">
        <v>250000</v>
      </c>
      <c r="F32" s="7"/>
      <c r="G32" s="7"/>
      <c r="H32" s="7">
        <v>45657</v>
      </c>
      <c r="I32" s="8" t="b">
        <f>FALSE()</f>
        <v>0</v>
      </c>
      <c r="J32" s="6">
        <v>31</v>
      </c>
    </row>
    <row r="33" spans="1:10" x14ac:dyDescent="0.25">
      <c r="A33" s="6">
        <v>32</v>
      </c>
      <c r="B33" s="6" t="s">
        <v>46</v>
      </c>
      <c r="C33" s="6" t="s">
        <v>58</v>
      </c>
      <c r="D33" s="6" t="s">
        <v>61</v>
      </c>
      <c r="E33" s="23">
        <v>1400000</v>
      </c>
      <c r="F33" s="7"/>
      <c r="G33" s="7"/>
      <c r="H33" s="7">
        <v>45657</v>
      </c>
      <c r="I33" s="8" t="b">
        <f>TRUE()</f>
        <v>1</v>
      </c>
      <c r="J33" s="6">
        <v>32</v>
      </c>
    </row>
    <row r="34" spans="1:10" x14ac:dyDescent="0.25">
      <c r="A34" s="6">
        <v>33</v>
      </c>
      <c r="B34" s="6" t="s">
        <v>46</v>
      </c>
      <c r="C34" s="6" t="s">
        <v>62</v>
      </c>
      <c r="D34" s="6" t="s">
        <v>63</v>
      </c>
      <c r="E34" s="23">
        <v>16000000</v>
      </c>
      <c r="F34" s="7"/>
      <c r="G34" s="7"/>
      <c r="H34" s="7">
        <v>45657</v>
      </c>
      <c r="I34" s="8" t="b">
        <f>FALSE()</f>
        <v>0</v>
      </c>
      <c r="J34" s="6">
        <v>33</v>
      </c>
    </row>
    <row r="35" spans="1:10" x14ac:dyDescent="0.25">
      <c r="A35" s="6">
        <v>34</v>
      </c>
      <c r="B35" s="6" t="s">
        <v>46</v>
      </c>
      <c r="C35" s="6" t="s">
        <v>62</v>
      </c>
      <c r="D35" s="6" t="s">
        <v>64</v>
      </c>
      <c r="E35" s="23">
        <v>16000000</v>
      </c>
      <c r="F35" s="7"/>
      <c r="G35" s="7"/>
      <c r="H35" s="7">
        <v>45657</v>
      </c>
      <c r="I35" s="8" t="b">
        <f>TRUE()</f>
        <v>1</v>
      </c>
      <c r="J35" s="6">
        <v>34</v>
      </c>
    </row>
    <row r="36" spans="1:10" x14ac:dyDescent="0.25">
      <c r="A36" s="6">
        <v>35</v>
      </c>
      <c r="B36" s="6" t="s">
        <v>46</v>
      </c>
      <c r="C36" s="6" t="s">
        <v>41</v>
      </c>
      <c r="D36" s="6" t="s">
        <v>65</v>
      </c>
      <c r="E36" s="23">
        <v>8800000</v>
      </c>
      <c r="F36" s="7"/>
      <c r="G36" s="7"/>
      <c r="H36" s="7">
        <v>45657</v>
      </c>
      <c r="I36" s="8" t="b">
        <f>FALSE()</f>
        <v>0</v>
      </c>
      <c r="J36" s="6">
        <v>35</v>
      </c>
    </row>
    <row r="37" spans="1:10" x14ac:dyDescent="0.25">
      <c r="A37" s="6">
        <v>36</v>
      </c>
      <c r="B37" s="6" t="s">
        <v>46</v>
      </c>
      <c r="C37" s="6" t="s">
        <v>66</v>
      </c>
      <c r="D37" s="6" t="s">
        <v>67</v>
      </c>
      <c r="E37" s="23">
        <v>26200000</v>
      </c>
      <c r="F37" s="7"/>
      <c r="G37" s="7"/>
      <c r="H37" s="7">
        <v>45657</v>
      </c>
      <c r="I37" s="8" t="b">
        <f>TRUE()</f>
        <v>1</v>
      </c>
      <c r="J37" s="6">
        <v>36</v>
      </c>
    </row>
  </sheetData>
  <autoFilter ref="A1:J37" xr:uid="{00000000-0009-0000-0000-000001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5"/>
  <sheetViews>
    <sheetView showGridLines="0" zoomScale="90" zoomScaleNormal="90" workbookViewId="0">
      <pane ySplit="4" topLeftCell="A5" activePane="bottomLeft" state="frozen"/>
      <selection pane="bottomLeft" activeCell="B12" sqref="B12"/>
    </sheetView>
  </sheetViews>
  <sheetFormatPr defaultColWidth="8.5703125" defaultRowHeight="15" x14ac:dyDescent="0.25"/>
  <cols>
    <col min="1" max="1" width="28" customWidth="1"/>
    <col min="2" max="2" width="38" customWidth="1"/>
    <col min="3" max="3" width="18" customWidth="1"/>
    <col min="4" max="4" width="58" customWidth="1"/>
  </cols>
  <sheetData>
    <row r="1" spans="1:4" ht="22.5" x14ac:dyDescent="0.3">
      <c r="A1" s="9" t="s">
        <v>68</v>
      </c>
    </row>
    <row r="3" spans="1:4" ht="16.5" x14ac:dyDescent="0.25">
      <c r="A3" s="20" t="s">
        <v>69</v>
      </c>
      <c r="B3" s="20"/>
      <c r="C3" s="20"/>
      <c r="D3" s="20"/>
    </row>
    <row r="5" spans="1:4" x14ac:dyDescent="0.25">
      <c r="A5" s="10" t="s">
        <v>70</v>
      </c>
      <c r="B5" s="10" t="s">
        <v>71</v>
      </c>
      <c r="C5" s="24" t="s">
        <v>14</v>
      </c>
      <c r="D5" s="10" t="s">
        <v>73</v>
      </c>
    </row>
    <row r="6" spans="1:4" x14ac:dyDescent="0.25">
      <c r="A6" s="6" t="s">
        <v>22</v>
      </c>
      <c r="B6" s="6" t="s">
        <v>22</v>
      </c>
      <c r="C6" s="23">
        <f>IFERROR(SUMIFS(Raw_Data!$E$2:$E$37,Raw_Data!$D$2:$D$37,Financial_Analysis!B6),0)</f>
        <v>15580941</v>
      </c>
      <c r="D6" s="6" t="s">
        <v>74</v>
      </c>
    </row>
    <row r="7" spans="1:4" x14ac:dyDescent="0.25">
      <c r="A7" s="6" t="s">
        <v>75</v>
      </c>
      <c r="B7" s="6" t="s">
        <v>23</v>
      </c>
      <c r="C7" s="23">
        <f>IFERROR(SUMIFS(Raw_Data!$E$2:$E$37,Raw_Data!$D$2:$D$37,Financial_Analysis!B7),0)</f>
        <v>-1437905</v>
      </c>
      <c r="D7" s="6" t="s">
        <v>76</v>
      </c>
    </row>
    <row r="8" spans="1:4" x14ac:dyDescent="0.25">
      <c r="A8" s="6" t="s">
        <v>24</v>
      </c>
      <c r="B8" s="6" t="s">
        <v>24</v>
      </c>
      <c r="C8" s="23">
        <f>IFERROR(SUMIFS(Raw_Data!$E$2:$E$37,Raw_Data!$D$2:$D$37,Financial_Analysis!B8),0)</f>
        <v>14143036</v>
      </c>
      <c r="D8" s="6" t="s">
        <v>74</v>
      </c>
    </row>
    <row r="9" spans="1:4" x14ac:dyDescent="0.25">
      <c r="A9" s="6" t="s">
        <v>77</v>
      </c>
      <c r="B9" s="6" t="s">
        <v>26</v>
      </c>
      <c r="C9" s="23">
        <f>IFERROR(SUMIFS(Raw_Data!$E$2:$E$37,Raw_Data!$D$2:$D$37,Financial_Analysis!B9),0)</f>
        <v>-11117500</v>
      </c>
      <c r="D9" s="6" t="s">
        <v>78</v>
      </c>
    </row>
    <row r="10" spans="1:4" x14ac:dyDescent="0.25">
      <c r="A10" s="6" t="s">
        <v>4</v>
      </c>
      <c r="B10" s="6" t="s">
        <v>4</v>
      </c>
      <c r="C10" s="23">
        <f>IFERROR(SUMIFS(Raw_Data!$E$2:$E$37,Raw_Data!$D$2:$D$37,Financial_Analysis!B10),0)</f>
        <v>3025536</v>
      </c>
      <c r="D10" s="6" t="s">
        <v>74</v>
      </c>
    </row>
    <row r="11" spans="1:4" x14ac:dyDescent="0.25">
      <c r="A11" s="6" t="s">
        <v>27</v>
      </c>
      <c r="B11" s="6" t="s">
        <v>33</v>
      </c>
      <c r="C11" s="23">
        <f>IFERROR(SUMIFS(Raw_Data!$E$2:$E$37,Raw_Data!$D$2:$D$37,Financial_Analysis!B11),0)</f>
        <v>-2413426</v>
      </c>
      <c r="D11" s="6" t="s">
        <v>79</v>
      </c>
    </row>
    <row r="12" spans="1:4" x14ac:dyDescent="0.25">
      <c r="A12" s="6" t="s">
        <v>34</v>
      </c>
      <c r="B12" s="6" t="s">
        <v>34</v>
      </c>
      <c r="C12" s="23">
        <f>IFERROR(SUMIFS(Raw_Data!$E$2:$E$37,Raw_Data!$D$2:$D$37,Financial_Analysis!B12),0)</f>
        <v>612110</v>
      </c>
      <c r="D12" s="6" t="s">
        <v>74</v>
      </c>
    </row>
    <row r="13" spans="1:4" x14ac:dyDescent="0.25">
      <c r="A13" s="6" t="s">
        <v>36</v>
      </c>
      <c r="B13" s="6" t="s">
        <v>36</v>
      </c>
      <c r="C13" s="23">
        <f>IFERROR(SUMIFS(Raw_Data!$E$2:$E$37,Raw_Data!$D$2:$D$37,Financial_Analysis!B13),0)</f>
        <v>-75536</v>
      </c>
      <c r="D13" s="6" t="s">
        <v>79</v>
      </c>
    </row>
    <row r="14" spans="1:4" x14ac:dyDescent="0.25">
      <c r="A14" s="6" t="s">
        <v>37</v>
      </c>
      <c r="B14" s="6" t="s">
        <v>37</v>
      </c>
      <c r="C14" s="23">
        <f>IFERROR(SUMIFS(Raw_Data!$E$2:$E$37,Raw_Data!$D$2:$D$37,Financial_Analysis!B14),0)</f>
        <v>536574</v>
      </c>
      <c r="D14" s="6" t="s">
        <v>74</v>
      </c>
    </row>
    <row r="15" spans="1:4" x14ac:dyDescent="0.25">
      <c r="A15" s="6" t="s">
        <v>39</v>
      </c>
      <c r="B15" s="6" t="s">
        <v>39</v>
      </c>
      <c r="C15" s="23">
        <f>IFERROR(SUMIFS(Raw_Data!$E$2:$E$37,Raw_Data!$D$2:$D$37,Financial_Analysis!B15),0)</f>
        <v>-25000</v>
      </c>
      <c r="D15" s="6" t="s">
        <v>79</v>
      </c>
    </row>
    <row r="16" spans="1:4" x14ac:dyDescent="0.25">
      <c r="A16" s="6" t="s">
        <v>5</v>
      </c>
      <c r="B16" s="6" t="s">
        <v>5</v>
      </c>
      <c r="C16" s="23">
        <f>IFERROR(SUMIFS(Raw_Data!$E$2:$E$37,Raw_Data!$D$2:$D$37,Financial_Analysis!B16),0)</f>
        <v>511574</v>
      </c>
      <c r="D16" s="6" t="s">
        <v>74</v>
      </c>
    </row>
    <row r="19" spans="1:4" ht="16.5" x14ac:dyDescent="0.25">
      <c r="A19" s="20" t="s">
        <v>80</v>
      </c>
      <c r="B19" s="20"/>
      <c r="C19" s="20"/>
      <c r="D19" s="20"/>
    </row>
    <row r="21" spans="1:4" x14ac:dyDescent="0.25">
      <c r="A21" s="10" t="s">
        <v>81</v>
      </c>
      <c r="B21" s="10" t="s">
        <v>82</v>
      </c>
      <c r="C21" s="10" t="s">
        <v>83</v>
      </c>
      <c r="D21" s="10" t="s">
        <v>84</v>
      </c>
    </row>
    <row r="22" spans="1:4" x14ac:dyDescent="0.25">
      <c r="A22" s="6" t="s">
        <v>85</v>
      </c>
      <c r="B22" s="6" t="s">
        <v>86</v>
      </c>
      <c r="C22" s="13">
        <v>0</v>
      </c>
      <c r="D22" s="6" t="s">
        <v>87</v>
      </c>
    </row>
    <row r="23" spans="1:4" x14ac:dyDescent="0.25">
      <c r="A23" s="6" t="s">
        <v>7</v>
      </c>
      <c r="B23" s="6" t="s">
        <v>88</v>
      </c>
      <c r="C23" s="11">
        <f>IFERROR(C10/C8,0)</f>
        <v>0.21392408249544156</v>
      </c>
      <c r="D23" s="6" t="s">
        <v>89</v>
      </c>
    </row>
    <row r="24" spans="1:4" x14ac:dyDescent="0.25">
      <c r="A24" s="6" t="s">
        <v>8</v>
      </c>
      <c r="B24" s="6" t="s">
        <v>90</v>
      </c>
      <c r="C24" s="11">
        <f>IFERROR(C12/C8,0)</f>
        <v>4.3279957712049948E-2</v>
      </c>
      <c r="D24" s="6" t="s">
        <v>91</v>
      </c>
    </row>
    <row r="25" spans="1:4" x14ac:dyDescent="0.25">
      <c r="A25" s="6" t="s">
        <v>6</v>
      </c>
      <c r="B25" s="6" t="s">
        <v>92</v>
      </c>
      <c r="C25" s="11">
        <f>IFERROR(C16/C8,0)</f>
        <v>3.6171441549042227E-2</v>
      </c>
      <c r="D25" s="6" t="s">
        <v>93</v>
      </c>
    </row>
    <row r="26" spans="1:4" x14ac:dyDescent="0.25">
      <c r="A26" s="6" t="s">
        <v>94</v>
      </c>
      <c r="B26" s="6" t="s">
        <v>95</v>
      </c>
      <c r="C26" s="11">
        <f>IFERROR(C11/C8,0)</f>
        <v>-0.17064412478339164</v>
      </c>
      <c r="D26" s="6" t="s">
        <v>96</v>
      </c>
    </row>
    <row r="29" spans="1:4" ht="16.5" x14ac:dyDescent="0.25">
      <c r="A29" s="20" t="s">
        <v>97</v>
      </c>
      <c r="B29" s="20"/>
      <c r="C29" s="20"/>
      <c r="D29" s="20"/>
    </row>
    <row r="31" spans="1:4" x14ac:dyDescent="0.25">
      <c r="A31" s="10" t="s">
        <v>70</v>
      </c>
      <c r="B31" s="10" t="s">
        <v>71</v>
      </c>
      <c r="C31" s="24" t="s">
        <v>14</v>
      </c>
      <c r="D31" s="10" t="s">
        <v>73</v>
      </c>
    </row>
    <row r="32" spans="1:4" x14ac:dyDescent="0.25">
      <c r="A32" s="6" t="s">
        <v>9</v>
      </c>
      <c r="B32" s="6" t="s">
        <v>9</v>
      </c>
      <c r="C32" s="23">
        <f>IFERROR(SUMIFS(Raw_Data!$E$2:$E$37,Raw_Data!$D$2:$D$37,Financial_Analysis!B32),0)</f>
        <v>26200000</v>
      </c>
      <c r="D32" s="6" t="s">
        <v>98</v>
      </c>
    </row>
    <row r="33" spans="1:4" x14ac:dyDescent="0.25">
      <c r="A33" s="6" t="s">
        <v>99</v>
      </c>
      <c r="B33" s="6" t="s">
        <v>61</v>
      </c>
      <c r="C33" s="23">
        <f>IFERROR(SUMIFS(Raw_Data!$E$2:$E$37,Raw_Data!$D$2:$D$37,Financial_Analysis!B33),0)</f>
        <v>1400000</v>
      </c>
      <c r="D33" s="6" t="s">
        <v>98</v>
      </c>
    </row>
    <row r="34" spans="1:4" x14ac:dyDescent="0.25">
      <c r="A34" s="6" t="s">
        <v>67</v>
      </c>
      <c r="B34" s="6" t="s">
        <v>67</v>
      </c>
      <c r="C34" s="23">
        <f>IFERROR(SUMIFS(Raw_Data!$E$2:$E$37,Raw_Data!$D$2:$D$37,Financial_Analysis!B34),0)</f>
        <v>26200000</v>
      </c>
      <c r="D34" s="6" t="s">
        <v>98</v>
      </c>
    </row>
    <row r="35" spans="1:4" x14ac:dyDescent="0.25">
      <c r="A35" s="6" t="s">
        <v>41</v>
      </c>
      <c r="B35" s="6" t="s">
        <v>65</v>
      </c>
      <c r="C35" s="23">
        <f>IFERROR(SUMIFS(Raw_Data!$E$2:$E$37,Raw_Data!$D$2:$D$37,Financial_Analysis!B35),0)</f>
        <v>8800000</v>
      </c>
      <c r="D35" s="6" t="s">
        <v>98</v>
      </c>
    </row>
  </sheetData>
  <mergeCells count="3">
    <mergeCell ref="A3:D3"/>
    <mergeCell ref="A19:D19"/>
    <mergeCell ref="A29:D29"/>
  </mergeCell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E6"/>
  <sheetViews>
    <sheetView zoomScaleNormal="100" workbookViewId="0"/>
  </sheetViews>
  <sheetFormatPr defaultColWidth="8.5703125" defaultRowHeight="15" x14ac:dyDescent="0.25"/>
  <sheetData>
    <row r="1" spans="1:5" x14ac:dyDescent="0.25">
      <c r="A1" t="s">
        <v>70</v>
      </c>
      <c r="B1" t="s">
        <v>72</v>
      </c>
      <c r="D1" t="s">
        <v>100</v>
      </c>
      <c r="E1" t="s">
        <v>72</v>
      </c>
    </row>
    <row r="2" spans="1:5" x14ac:dyDescent="0.25">
      <c r="A2" t="s">
        <v>24</v>
      </c>
      <c r="B2" s="12">
        <f>Financial_Analysis!C8</f>
        <v>14143036</v>
      </c>
      <c r="D2" s="3" t="s">
        <v>4</v>
      </c>
      <c r="E2" s="12">
        <f>Financial_Analysis!C10</f>
        <v>3025536</v>
      </c>
    </row>
    <row r="3" spans="1:5" x14ac:dyDescent="0.25">
      <c r="A3" t="s">
        <v>77</v>
      </c>
      <c r="B3" s="12">
        <f>Financial_Analysis!C9</f>
        <v>-11117500</v>
      </c>
      <c r="D3" s="3" t="s">
        <v>34</v>
      </c>
      <c r="E3" s="12">
        <f>Financial_Analysis!C12</f>
        <v>612110</v>
      </c>
    </row>
    <row r="4" spans="1:5" x14ac:dyDescent="0.25">
      <c r="A4" t="s">
        <v>27</v>
      </c>
      <c r="B4" s="12">
        <f>Financial_Analysis!C11</f>
        <v>-2413426</v>
      </c>
      <c r="D4" s="3" t="s">
        <v>5</v>
      </c>
      <c r="E4" s="12">
        <f>Financial_Analysis!C16</f>
        <v>511574</v>
      </c>
    </row>
    <row r="5" spans="1:5" x14ac:dyDescent="0.25">
      <c r="A5" t="s">
        <v>36</v>
      </c>
      <c r="B5" s="12">
        <f>Financial_Analysis!C13</f>
        <v>-75536</v>
      </c>
    </row>
    <row r="6" spans="1:5" x14ac:dyDescent="0.25">
      <c r="A6" t="s">
        <v>39</v>
      </c>
      <c r="B6" s="12">
        <f>Financial_Analysis!C15</f>
        <v>-25000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B2:L11"/>
  <sheetViews>
    <sheetView showGridLines="0" tabSelected="1" zoomScale="90" zoomScaleNormal="90" workbookViewId="0">
      <selection activeCell="C4" sqref="C4"/>
    </sheetView>
  </sheetViews>
  <sheetFormatPr defaultColWidth="8.5703125" defaultRowHeight="15" x14ac:dyDescent="0.25"/>
  <cols>
    <col min="1" max="1" width="3" customWidth="1"/>
    <col min="2" max="2" width="22" customWidth="1"/>
    <col min="3" max="3" width="18" customWidth="1"/>
    <col min="4" max="4" width="3" customWidth="1"/>
    <col min="5" max="5" width="22" customWidth="1"/>
    <col min="6" max="6" width="18" customWidth="1"/>
    <col min="7" max="7" width="3" customWidth="1"/>
    <col min="8" max="8" width="22" customWidth="1"/>
    <col min="9" max="9" width="18" customWidth="1"/>
    <col min="10" max="10" width="3" customWidth="1"/>
    <col min="11" max="11" width="22" customWidth="1"/>
    <col min="12" max="12" width="18" customWidth="1"/>
  </cols>
  <sheetData>
    <row r="2" spans="2:12" ht="27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2:12" x14ac:dyDescent="0.25">
      <c r="B4" s="1" t="s">
        <v>1</v>
      </c>
      <c r="C4" s="2">
        <v>2024</v>
      </c>
      <c r="E4" s="3"/>
      <c r="F4" s="4"/>
    </row>
    <row r="6" spans="2:12" x14ac:dyDescent="0.25">
      <c r="B6" s="21" t="s">
        <v>2</v>
      </c>
      <c r="C6" s="22"/>
      <c r="E6" s="15" t="s">
        <v>3</v>
      </c>
      <c r="F6" s="15"/>
      <c r="H6" s="16" t="s">
        <v>4</v>
      </c>
      <c r="I6" s="16"/>
      <c r="K6" s="17" t="s">
        <v>5</v>
      </c>
      <c r="L6" s="17"/>
    </row>
    <row r="7" spans="2:12" ht="20.25" x14ac:dyDescent="0.3">
      <c r="B7" s="25">
        <f>Financial_Analysis!C8</f>
        <v>14143036</v>
      </c>
      <c r="C7" s="25"/>
      <c r="E7" s="25">
        <f>Financial_Analysis!C11</f>
        <v>-2413426</v>
      </c>
      <c r="F7" s="25"/>
      <c r="H7" s="25">
        <f>Financial_Analysis!C10</f>
        <v>3025536</v>
      </c>
      <c r="I7" s="25"/>
      <c r="K7" s="25">
        <f>Financial_Analysis!C16</f>
        <v>511574</v>
      </c>
      <c r="L7" s="25"/>
    </row>
    <row r="10" spans="2:12" x14ac:dyDescent="0.25">
      <c r="B10" s="18" t="s">
        <v>6</v>
      </c>
      <c r="C10" s="18"/>
      <c r="E10" s="18" t="s">
        <v>7</v>
      </c>
      <c r="F10" s="18"/>
      <c r="H10" s="18" t="s">
        <v>8</v>
      </c>
      <c r="I10" s="18"/>
      <c r="K10" s="16" t="s">
        <v>9</v>
      </c>
      <c r="L10" s="16"/>
    </row>
    <row r="11" spans="2:12" ht="20.25" x14ac:dyDescent="0.3">
      <c r="B11" s="19">
        <f>Financial_Analysis!C25</f>
        <v>3.6171441549042227E-2</v>
      </c>
      <c r="C11" s="19"/>
      <c r="E11" s="19">
        <f>Financial_Analysis!C23</f>
        <v>0.21392408249544156</v>
      </c>
      <c r="F11" s="19"/>
      <c r="H11" s="19">
        <f>Financial_Analysis!C24</f>
        <v>4.3279957712049948E-2</v>
      </c>
      <c r="I11" s="19"/>
      <c r="K11" s="25">
        <f>Financial_Analysis!C32</f>
        <v>26200000</v>
      </c>
      <c r="L11" s="25"/>
    </row>
  </sheetData>
  <mergeCells count="17">
    <mergeCell ref="B11:C11"/>
    <mergeCell ref="E11:F11"/>
    <mergeCell ref="H11:I11"/>
    <mergeCell ref="K11:L11"/>
    <mergeCell ref="B7:C7"/>
    <mergeCell ref="E7:F7"/>
    <mergeCell ref="H7:I7"/>
    <mergeCell ref="K7:L7"/>
    <mergeCell ref="B10:C10"/>
    <mergeCell ref="E10:F10"/>
    <mergeCell ref="H10:I10"/>
    <mergeCell ref="K10:L10"/>
    <mergeCell ref="B2:L2"/>
    <mergeCell ref="B6:C6"/>
    <mergeCell ref="E6:F6"/>
    <mergeCell ref="H6:I6"/>
    <mergeCell ref="K6:L6"/>
  </mergeCells>
  <dataValidations count="1">
    <dataValidation type="list" errorTitle="Year not available" error="Only FY2024 is available in the statement dataset." sqref="C4" xr:uid="{00000000-0002-0000-0000-000000000000}">
      <formula1>"2024"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Financial_Analysis</vt:lpstr>
      <vt:lpstr>Dashboard_Data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 Hamid</dc:creator>
  <cp:lastModifiedBy>Haji Hamid</cp:lastModifiedBy>
  <dcterms:created xsi:type="dcterms:W3CDTF">2026-08-31T16:55:53Z</dcterms:created>
  <dcterms:modified xsi:type="dcterms:W3CDTF">2026-09-01T08:29:47Z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2026-08-31T16:39:44Z</dcterms:created>
  <dc:creator>openpyxl</dc:creator>
  <dc:description/>
  <dc:language>en-US</dc:language>
  <cp:lastModifiedBy/>
  <dcterms:modified xsi:type="dcterms:W3CDTF">2026-08-31T16:39:44Z</dcterms:modified>
  <cp:revision>0</cp:revision>
  <dc:subject/>
  <dc:title/>
</cp:coreProperties>
</file>